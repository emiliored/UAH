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CL2\"/>
    </mc:Choice>
  </mc:AlternateContent>
  <xr:revisionPtr revIDLastSave="0" documentId="13_ncr:1_{0F3C6045-748A-40F8-890C-6BE49CB8503C}" xr6:coauthVersionLast="47" xr6:coauthVersionMax="47" xr10:uidLastSave="{00000000-0000-0000-0000-000000000000}"/>
  <workbookProtection workbookAlgorithmName="SHA-512" workbookHashValue="EoHl7llgWSb2xh9sOhDLC+vhu9xwn2Pp0xuYK1BfdSTTSkSYnjizJO5fqBDBvUFrcKIM64b2G+LAxm40ou72oQ==" workbookSaltValue="L7xQRK3zbyy44xBGJi1rfQ==" workbookSpinCount="100000" lockStructure="1"/>
  <bookViews>
    <workbookView xWindow="1174" yWindow="-103" windowWidth="15386" windowHeight="9463" xr2:uid="{00000000-000D-0000-FFFF-FFFF00000000}"/>
  </bookViews>
  <sheets>
    <sheet name="Nombres" sheetId="1" r:id="rId1"/>
    <sheet name="Datos" sheetId="2" r:id="rId2"/>
    <sheet name="Referencia" sheetId="7" state="hidden" r:id="rId3"/>
    <sheet name="Transacciones" sheetId="6" r:id="rId4"/>
    <sheet name="Ajuste" sheetId="5" r:id="rId5"/>
    <sheet name="PF" sheetId="8" r:id="rId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2" i="6" l="1"/>
  <c r="L3" i="7"/>
  <c r="M3" i="7" a="1"/>
  <c r="M3" i="7" s="1"/>
  <c r="N3" i="7"/>
  <c r="L4" i="7"/>
  <c r="M4" i="7" a="1"/>
  <c r="M4" i="7" s="1"/>
  <c r="N4" i="7"/>
  <c r="L5" i="7"/>
  <c r="M5" i="7" a="1"/>
  <c r="M5" i="7" s="1"/>
  <c r="N5" i="7"/>
  <c r="L6" i="7"/>
  <c r="M6" i="7" a="1"/>
  <c r="M6" i="7" s="1"/>
  <c r="N6" i="7"/>
  <c r="L7" i="7"/>
  <c r="M7" i="7" a="1"/>
  <c r="M7" i="7" s="1"/>
  <c r="N7" i="7"/>
  <c r="L8" i="7"/>
  <c r="M8" i="7" a="1"/>
  <c r="M8" i="7" s="1"/>
  <c r="N8" i="7"/>
  <c r="L9" i="7"/>
  <c r="M9" i="7" a="1"/>
  <c r="M9" i="7" s="1"/>
  <c r="N9" i="7"/>
  <c r="L10" i="7"/>
  <c r="M10" i="7" a="1"/>
  <c r="M10" i="7" s="1"/>
  <c r="N10" i="7"/>
  <c r="L11" i="7"/>
  <c r="M11" i="7" a="1"/>
  <c r="M11" i="7" s="1"/>
  <c r="N11" i="7"/>
  <c r="L12" i="7"/>
  <c r="M12" i="7" a="1"/>
  <c r="M12" i="7" s="1"/>
  <c r="N12" i="7"/>
  <c r="L13" i="7"/>
  <c r="M13" i="7" a="1"/>
  <c r="M13" i="7" s="1"/>
  <c r="N13" i="7"/>
  <c r="L14" i="7"/>
  <c r="M14" i="7" a="1"/>
  <c r="M14" i="7" s="1"/>
  <c r="N14" i="7"/>
  <c r="L15" i="7"/>
  <c r="M15" i="7" a="1"/>
  <c r="M15" i="7" s="1"/>
  <c r="N15" i="7"/>
  <c r="L16" i="7"/>
  <c r="M16" i="7" a="1"/>
  <c r="M16" i="7" s="1"/>
  <c r="N16" i="7"/>
  <c r="L17" i="7"/>
  <c r="M17" i="7" a="1"/>
  <c r="M17" i="7" s="1"/>
  <c r="N17" i="7"/>
  <c r="L18" i="7"/>
  <c r="M18" i="7" a="1"/>
  <c r="M18" i="7" s="1"/>
  <c r="N18" i="7"/>
  <c r="L19" i="7"/>
  <c r="M19" i="7" a="1"/>
  <c r="M19" i="7" s="1"/>
  <c r="N19" i="7"/>
  <c r="L20" i="7"/>
  <c r="M20" i="7" a="1"/>
  <c r="M20" i="7" s="1"/>
  <c r="N20" i="7"/>
  <c r="L21" i="7"/>
  <c r="M21" i="7" a="1"/>
  <c r="M21" i="7" s="1"/>
  <c r="N21" i="7"/>
  <c r="L22" i="7"/>
  <c r="M22" i="7" a="1"/>
  <c r="M22" i="7" s="1"/>
  <c r="N22" i="7"/>
  <c r="M2" i="7" a="1"/>
  <c r="M2" i="7" s="1"/>
  <c r="N2" i="7"/>
  <c r="L2" i="7"/>
  <c r="J3" i="6"/>
  <c r="K3" i="6" s="1"/>
  <c r="J4" i="6"/>
  <c r="K4" i="6" s="1"/>
  <c r="J5" i="6"/>
  <c r="K5" i="6" s="1"/>
  <c r="J6" i="6"/>
  <c r="K6" i="6" s="1"/>
  <c r="J7" i="6"/>
  <c r="K7" i="6" s="1"/>
  <c r="J8" i="6"/>
  <c r="K8" i="6" s="1"/>
  <c r="J9" i="6"/>
  <c r="K9" i="6" s="1"/>
  <c r="J10" i="6"/>
  <c r="K10" i="6" s="1"/>
  <c r="J11" i="6"/>
  <c r="K11" i="6" s="1"/>
  <c r="J12" i="6"/>
  <c r="K12" i="6" s="1"/>
  <c r="J13" i="6"/>
  <c r="K13" i="6" s="1"/>
  <c r="J14" i="6"/>
  <c r="K14" i="6" s="1"/>
  <c r="J15" i="6"/>
  <c r="K15" i="6" s="1"/>
  <c r="J16" i="6"/>
  <c r="K16" i="6" s="1"/>
  <c r="J17" i="6"/>
  <c r="K17" i="6" s="1"/>
  <c r="J18" i="6"/>
  <c r="K18" i="6" s="1"/>
  <c r="J19" i="6"/>
  <c r="K19" i="6" s="1"/>
  <c r="J20" i="6"/>
  <c r="K20" i="6" s="1"/>
  <c r="J21" i="6"/>
  <c r="K21" i="6" s="1"/>
  <c r="J22" i="6"/>
  <c r="K22" i="6" s="1"/>
  <c r="J2" i="6"/>
  <c r="K2" i="6" s="1"/>
  <c r="C4" i="8" l="1"/>
  <c r="D4" i="8"/>
  <c r="C6" i="8"/>
  <c r="B5" i="8"/>
  <c r="C5" i="8"/>
  <c r="D5" i="8"/>
  <c r="D6" i="8"/>
  <c r="B6" i="8"/>
  <c r="B4" i="8"/>
  <c r="G7" i="2"/>
  <c r="G8" i="2"/>
  <c r="G10" i="2"/>
  <c r="G11" i="2"/>
  <c r="G12" i="2"/>
  <c r="A9" i="7"/>
  <c r="C9" i="7"/>
  <c r="A10" i="7"/>
  <c r="B10" i="7" a="1"/>
  <c r="B10" i="7" s="1"/>
  <c r="C10" i="7"/>
  <c r="A11" i="7"/>
  <c r="B11" i="7" a="1"/>
  <c r="B11" i="7" s="1"/>
  <c r="C11" i="7"/>
  <c r="A12" i="7"/>
  <c r="B12" i="7" a="1"/>
  <c r="B12" i="7" s="1"/>
  <c r="C12" i="7"/>
  <c r="A3" i="7"/>
  <c r="B3" i="7" a="1"/>
  <c r="B3" i="7" s="1"/>
  <c r="C3" i="7"/>
  <c r="A4" i="7"/>
  <c r="B4" i="7" a="1"/>
  <c r="B4" i="7" s="1"/>
  <c r="C4" i="7"/>
  <c r="A5" i="7"/>
  <c r="B5" i="7" a="1"/>
  <c r="B5" i="7" s="1"/>
  <c r="C5" i="7"/>
  <c r="A6" i="7"/>
  <c r="B6" i="7" a="1"/>
  <c r="B6" i="7" s="1"/>
  <c r="C6" i="7"/>
  <c r="A7" i="7"/>
  <c r="B7" i="7" a="1"/>
  <c r="B7" i="7" s="1"/>
  <c r="C7" i="7"/>
  <c r="A8" i="7"/>
  <c r="B8" i="7" a="1"/>
  <c r="B8" i="7" s="1"/>
  <c r="C8" i="7"/>
  <c r="C2" i="7"/>
  <c r="B2" i="7" a="1"/>
  <c r="B2" i="7" s="1"/>
  <c r="A2" i="7"/>
  <c r="C17" i="5"/>
  <c r="B9" i="7" a="1"/>
  <c r="E4" i="8" l="1"/>
  <c r="E6" i="8"/>
  <c r="B3" i="8"/>
  <c r="D2" i="8"/>
  <c r="B9" i="7"/>
  <c r="G9" i="2" s="1"/>
  <c r="E5" i="8"/>
  <c r="C18" i="5"/>
  <c r="E8" i="8" s="1"/>
  <c r="B8" i="8"/>
  <c r="D3" i="8" l="1"/>
  <c r="E3" i="8" s="1"/>
  <c r="C3" i="8"/>
  <c r="C2" i="8"/>
  <c r="B2" i="8"/>
  <c r="E2" i="8" l="1"/>
  <c r="E7" i="8" s="1"/>
  <c r="E9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LFS</author>
  </authors>
  <commentList>
    <comment ref="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En caso de un solo RET poner solo el nombre igual al fichero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LFS</author>
  </authors>
  <commentList>
    <comment ref="F1" authorId="0" shapeId="0" xr:uid="{00000000-0006-0000-0300-000001000000}">
      <text>
        <r>
          <rPr>
            <sz val="9"/>
            <color indexed="81"/>
            <rFont val="Tahoma"/>
            <family val="2"/>
          </rPr>
          <t>En caso de EQ, indicar solo los DET de la parte más compleja (entrada o salida)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<sst xmlns="http://schemas.openxmlformats.org/spreadsheetml/2006/main" count="162" uniqueCount="71">
  <si>
    <t>Estudiante</t>
  </si>
  <si>
    <t>Nombre de fichero</t>
  </si>
  <si>
    <t>Interno/externo</t>
  </si>
  <si>
    <t>Nº DET</t>
  </si>
  <si>
    <t>Nombre de DET y justificación</t>
  </si>
  <si>
    <t>Nº RET</t>
  </si>
  <si>
    <t>Nombre de RET y justificación</t>
  </si>
  <si>
    <t>Complejidad</t>
  </si>
  <si>
    <t>ILF</t>
  </si>
  <si>
    <t>Baja</t>
  </si>
  <si>
    <t>Media</t>
  </si>
  <si>
    <t>EIF</t>
  </si>
  <si>
    <t>Alta</t>
  </si>
  <si>
    <t>Comentarios y explicaciones</t>
  </si>
  <si>
    <t>Insertar aquí imagen del modelo de datos</t>
  </si>
  <si>
    <t>Complejidad baja</t>
  </si>
  <si>
    <t>Complejidad media</t>
  </si>
  <si>
    <t>Complejidad alta</t>
  </si>
  <si>
    <t>Total parámetro</t>
  </si>
  <si>
    <t>EI</t>
  </si>
  <si>
    <t>EO</t>
  </si>
  <si>
    <t>EQ</t>
  </si>
  <si>
    <t>Puntos de función no ajustados</t>
  </si>
  <si>
    <t>Total factores de ajuste (0-70)</t>
  </si>
  <si>
    <t>Valor de ajuste (0,65-1,35)</t>
  </si>
  <si>
    <t>Total de puntos de función</t>
  </si>
  <si>
    <t xml:space="preserve">EI </t>
  </si>
  <si>
    <t>1 a 4 DET</t>
  </si>
  <si>
    <t>5 a 15 DET</t>
  </si>
  <si>
    <t>³  16 DET</t>
  </si>
  <si>
    <t xml:space="preserve">EO </t>
  </si>
  <si>
    <t>0-1 FTR</t>
  </si>
  <si>
    <t>2 FTR</t>
  </si>
  <si>
    <t>2-3 FTR</t>
  </si>
  <si>
    <t>³  3 FTR</t>
  </si>
  <si>
    <t>³  4 FTR</t>
  </si>
  <si>
    <t>Usuario</t>
  </si>
  <si>
    <t>Tipo de función</t>
  </si>
  <si>
    <t>Nombre de función</t>
  </si>
  <si>
    <t>EI o EO para DET en EQ (si no, en gris)</t>
  </si>
  <si>
    <t>Nombre de DET (aplicable) y justificación</t>
  </si>
  <si>
    <t>Nº FTR</t>
  </si>
  <si>
    <t>Nombre de FTR y justificación</t>
  </si>
  <si>
    <t>Tipo</t>
  </si>
  <si>
    <t>Fila</t>
  </si>
  <si>
    <t>Privilegiado</t>
  </si>
  <si>
    <t>Todos</t>
  </si>
  <si>
    <t>Normal</t>
  </si>
  <si>
    <t>Id</t>
  </si>
  <si>
    <t>Factor de ajuste</t>
  </si>
  <si>
    <t>Valor (0-5)</t>
  </si>
  <si>
    <t>Justificación (solo si no es cero)</t>
  </si>
  <si>
    <t>Comunicaciones de datos</t>
  </si>
  <si>
    <t>Procesamiento distribuido</t>
  </si>
  <si>
    <t>Rendimiento</t>
  </si>
  <si>
    <t>Configuración con gran carga de uso</t>
  </si>
  <si>
    <t xml:space="preserve">Tasa de transacciones </t>
  </si>
  <si>
    <t xml:space="preserve">Entrada de datos on-line </t>
  </si>
  <si>
    <t>Eficiencia de usuario final</t>
  </si>
  <si>
    <t xml:space="preserve">Actualizaciones on-line </t>
  </si>
  <si>
    <t>Procesamiento complejo</t>
  </si>
  <si>
    <t xml:space="preserve"> Reusabilidad </t>
  </si>
  <si>
    <t xml:space="preserve"> Facilidad de instalación </t>
  </si>
  <si>
    <t xml:space="preserve"> Facilidad de operación </t>
  </si>
  <si>
    <t xml:space="preserve"> Multisitio </t>
  </si>
  <si>
    <t xml:space="preserve"> Facilidad de cambio</t>
  </si>
  <si>
    <t>Puntos de ajuste</t>
  </si>
  <si>
    <t>Práctica 2. Gestión de Proyectos</t>
  </si>
  <si>
    <t>GRUPO</t>
  </si>
  <si>
    <t>Nº</t>
  </si>
  <si>
    <t>Nombre apellido1 apellido2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</si>
</sst>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9"/>
      <color rgb="FF000000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lightGray">
        <bgColor rgb="FFCCCCCC"/>
      </patternFill>
    </fill>
    <fill>
      <patternFill patternType="solid">
        <fgColor rgb="FFFF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0" xfId="0" applyFill="1" applyProtection="1">
      <protection hidden="1"/>
    </xf>
    <xf numFmtId="0" fontId="3" fillId="2" borderId="1" xfId="0" applyFont="1" applyFill="1" applyBorder="1" applyProtection="1">
      <protection hidden="1"/>
    </xf>
    <xf numFmtId="0" fontId="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0" xfId="0" applyFont="1"/>
    <xf numFmtId="0" fontId="1" fillId="0" borderId="5" xfId="0" applyFont="1" applyBorder="1" applyAlignment="1">
      <alignment horizontal="center" wrapText="1"/>
    </xf>
    <xf numFmtId="0" fontId="6" fillId="0" borderId="0" xfId="0" applyFont="1"/>
    <xf numFmtId="0" fontId="7" fillId="0" borderId="5" xfId="0" applyFont="1" applyBorder="1" applyAlignment="1">
      <alignment vertical="center" readingOrder="1"/>
    </xf>
    <xf numFmtId="0" fontId="0" fillId="0" borderId="5" xfId="0" applyBorder="1" applyAlignment="1">
      <alignment horizontal="center" wrapText="1"/>
    </xf>
    <xf numFmtId="0" fontId="9" fillId="0" borderId="0" xfId="0" applyFont="1" applyAlignment="1">
      <alignment horizontal="left" vertical="center" indent="4" readingOrder="1"/>
    </xf>
    <xf numFmtId="0" fontId="9" fillId="0" borderId="0" xfId="0" applyFont="1" applyAlignment="1">
      <alignment vertical="center" readingOrder="1"/>
    </xf>
    <xf numFmtId="0" fontId="0" fillId="2" borderId="0" xfId="0" applyFill="1" applyAlignment="1" applyProtection="1">
      <alignment wrapText="1"/>
      <protection hidden="1"/>
    </xf>
    <xf numFmtId="0" fontId="0" fillId="0" borderId="0" xfId="0" applyAlignment="1">
      <alignment wrapText="1"/>
    </xf>
    <xf numFmtId="0" fontId="11" fillId="0" borderId="5" xfId="0" applyFont="1" applyBorder="1" applyAlignment="1">
      <alignment horizontal="center"/>
    </xf>
    <xf numFmtId="0" fontId="10" fillId="0" borderId="5" xfId="0" applyFont="1" applyBorder="1" applyAlignment="1">
      <alignment horizontal="center" wrapText="1"/>
    </xf>
    <xf numFmtId="0" fontId="10" fillId="2" borderId="0" xfId="0" applyFont="1" applyFill="1" applyProtection="1">
      <protection hidden="1"/>
    </xf>
    <xf numFmtId="0" fontId="10" fillId="0" borderId="0" xfId="0" applyFon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13" fillId="0" borderId="14" xfId="0" applyFont="1" applyBorder="1" applyAlignment="1">
      <alignment horizontal="justify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justify" vertical="center" wrapText="1"/>
    </xf>
    <xf numFmtId="0" fontId="13" fillId="0" borderId="17" xfId="0" applyFont="1" applyBorder="1" applyAlignment="1">
      <alignment horizontal="justify" vertical="center" wrapText="1"/>
    </xf>
    <xf numFmtId="0" fontId="13" fillId="0" borderId="16" xfId="0" applyFont="1" applyBorder="1" applyAlignment="1">
      <alignment vertical="center" wrapText="1"/>
    </xf>
    <xf numFmtId="0" fontId="13" fillId="5" borderId="15" xfId="0" applyFont="1" applyFill="1" applyBorder="1" applyAlignment="1">
      <alignment horizontal="justify" vertical="center" wrapText="1"/>
    </xf>
    <xf numFmtId="0" fontId="13" fillId="6" borderId="17" xfId="0" applyFont="1" applyFill="1" applyBorder="1" applyAlignment="1">
      <alignment vertical="top" wrapText="1"/>
    </xf>
    <xf numFmtId="0" fontId="13" fillId="7" borderId="16" xfId="0" applyFont="1" applyFill="1" applyBorder="1" applyAlignment="1">
      <alignment vertical="top" wrapText="1"/>
    </xf>
    <xf numFmtId="0" fontId="13" fillId="0" borderId="17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0" fillId="0" borderId="5" xfId="0" applyBorder="1"/>
    <xf numFmtId="0" fontId="0" fillId="0" borderId="0" xfId="0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11" fillId="0" borderId="5" xfId="0" applyFont="1" applyBorder="1" applyAlignment="1">
      <alignment horizontal="center" wrapText="1"/>
    </xf>
    <xf numFmtId="0" fontId="10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2" borderId="0" xfId="0" applyFill="1" applyAlignment="1" applyProtection="1">
      <alignment horizontal="center" wrapText="1"/>
      <protection hidden="1"/>
    </xf>
    <xf numFmtId="0" fontId="0" fillId="0" borderId="5" xfId="0" applyBorder="1" applyAlignment="1" applyProtection="1">
      <alignment horizontal="center" wrapText="1"/>
      <protection locked="0"/>
    </xf>
    <xf numFmtId="0" fontId="10" fillId="0" borderId="5" xfId="0" applyFont="1" applyBorder="1" applyAlignment="1" applyProtection="1">
      <alignment horizontal="center" wrapText="1"/>
      <protection locked="0"/>
    </xf>
    <xf numFmtId="0" fontId="10" fillId="0" borderId="5" xfId="0" applyFont="1" applyBorder="1" applyAlignment="1" applyProtection="1">
      <alignment wrapText="1"/>
      <protection locked="0"/>
    </xf>
    <xf numFmtId="0" fontId="12" fillId="0" borderId="5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13" fillId="8" borderId="17" xfId="0" applyFont="1" applyFill="1" applyBorder="1" applyAlignment="1" applyProtection="1">
      <alignment horizontal="center" vertical="center" wrapText="1"/>
      <protection hidden="1"/>
    </xf>
    <xf numFmtId="0" fontId="13" fillId="5" borderId="15" xfId="0" applyFont="1" applyFill="1" applyBorder="1" applyAlignment="1" applyProtection="1">
      <alignment horizontal="justify" vertical="center" wrapText="1"/>
      <protection hidden="1"/>
    </xf>
    <xf numFmtId="0" fontId="15" fillId="8" borderId="17" xfId="0" applyFont="1" applyFill="1" applyBorder="1" applyAlignment="1" applyProtection="1">
      <alignment horizontal="center" vertical="center" wrapText="1"/>
      <protection hidden="1"/>
    </xf>
    <xf numFmtId="0" fontId="13" fillId="8" borderId="17" xfId="0" applyFont="1" applyFill="1" applyBorder="1" applyAlignment="1" applyProtection="1">
      <alignment horizontal="center" vertical="top" wrapText="1"/>
      <protection hidden="1"/>
    </xf>
    <xf numFmtId="0" fontId="0" fillId="3" borderId="5" xfId="0" applyFill="1" applyBorder="1" applyProtection="1">
      <protection hidden="1"/>
    </xf>
    <xf numFmtId="0" fontId="4" fillId="3" borderId="2" xfId="0" applyFont="1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4" fillId="3" borderId="11" xfId="0" applyFont="1" applyFill="1" applyBorder="1" applyAlignment="1" applyProtection="1">
      <alignment horizontal="center"/>
      <protection hidden="1"/>
    </xf>
    <xf numFmtId="0" fontId="0" fillId="3" borderId="12" xfId="0" applyFill="1" applyBorder="1" applyAlignment="1" applyProtection="1">
      <alignment horizontal="center"/>
      <protection hidden="1"/>
    </xf>
    <xf numFmtId="0" fontId="1" fillId="2" borderId="5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Alignment="1" applyProtection="1">
      <alignment horizontal="center"/>
      <protection hidden="1"/>
    </xf>
    <xf numFmtId="0" fontId="1" fillId="4" borderId="6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8" xfId="0" applyFont="1" applyFill="1" applyBorder="1" applyAlignment="1" applyProtection="1">
      <alignment horizontal="center" vertical="center"/>
      <protection hidden="1"/>
    </xf>
    <xf numFmtId="0" fontId="1" fillId="4" borderId="9" xfId="0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Alignment="1" applyProtection="1">
      <alignment horizontal="center" vertical="center"/>
      <protection hidden="1"/>
    </xf>
    <xf numFmtId="0" fontId="1" fillId="4" borderId="10" xfId="0" applyFont="1" applyFill="1" applyBorder="1" applyAlignment="1" applyProtection="1">
      <alignment horizontal="center" vertical="center"/>
      <protection hidden="1"/>
    </xf>
    <xf numFmtId="0" fontId="1" fillId="4" borderId="11" xfId="0" applyFont="1" applyFill="1" applyBorder="1" applyAlignment="1" applyProtection="1">
      <alignment horizontal="center" vertical="center"/>
      <protection hidden="1"/>
    </xf>
    <xf numFmtId="0" fontId="1" fillId="4" borderId="12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 vertical="center"/>
      <protection hidden="1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7" xfId="0" applyFill="1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0" fillId="4" borderId="11" xfId="0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14" fillId="6" borderId="19" xfId="0" applyFont="1" applyFill="1" applyBorder="1" applyAlignment="1">
      <alignment horizontal="justify" vertical="center" wrapText="1"/>
    </xf>
    <xf numFmtId="0" fontId="14" fillId="6" borderId="15" xfId="0" applyFont="1" applyFill="1" applyBorder="1" applyAlignment="1">
      <alignment horizontal="justify" vertical="center" wrapText="1"/>
    </xf>
    <xf numFmtId="0" fontId="14" fillId="6" borderId="19" xfId="0" applyFont="1" applyFill="1" applyBorder="1" applyAlignment="1">
      <alignment horizontal="right" vertical="center" wrapText="1"/>
    </xf>
    <xf numFmtId="0" fontId="14" fillId="6" borderId="20" xfId="0" applyFont="1" applyFill="1" applyBorder="1" applyAlignment="1">
      <alignment horizontal="right" vertical="center" wrapText="1"/>
    </xf>
    <xf numFmtId="0" fontId="14" fillId="6" borderId="15" xfId="0" applyFont="1" applyFill="1" applyBorder="1" applyAlignment="1">
      <alignment horizontal="right" vertical="center" wrapText="1"/>
    </xf>
    <xf numFmtId="0" fontId="0" fillId="4" borderId="6" xfId="0" applyFill="1" applyBorder="1" applyAlignment="1" applyProtection="1">
      <alignment horizontal="center" wrapText="1"/>
      <protection locked="0"/>
    </xf>
    <xf numFmtId="0" fontId="0" fillId="4" borderId="7" xfId="0" applyFill="1" applyBorder="1" applyAlignment="1" applyProtection="1">
      <alignment horizontal="center" wrapText="1"/>
      <protection locked="0"/>
    </xf>
    <xf numFmtId="0" fontId="0" fillId="4" borderId="8" xfId="0" applyFill="1" applyBorder="1" applyAlignment="1" applyProtection="1">
      <alignment horizontal="center" wrapText="1"/>
      <protection locked="0"/>
    </xf>
    <xf numFmtId="0" fontId="0" fillId="4" borderId="9" xfId="0" applyFill="1" applyBorder="1" applyAlignment="1" applyProtection="1">
      <alignment horizontal="center" wrapText="1"/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4" borderId="10" xfId="0" applyFill="1" applyBorder="1" applyAlignment="1" applyProtection="1">
      <alignment horizontal="center" wrapText="1"/>
      <protection locked="0"/>
    </xf>
    <xf numFmtId="0" fontId="0" fillId="4" borderId="11" xfId="0" applyFill="1" applyBorder="1" applyAlignment="1" applyProtection="1">
      <alignment horizontal="center" wrapText="1"/>
      <protection locked="0"/>
    </xf>
    <xf numFmtId="0" fontId="0" fillId="4" borderId="12" xfId="0" applyFill="1" applyBorder="1" applyAlignment="1" applyProtection="1">
      <alignment horizontal="center" wrapText="1"/>
      <protection locked="0"/>
    </xf>
    <xf numFmtId="0" fontId="0" fillId="4" borderId="13" xfId="0" applyFill="1" applyBorder="1" applyAlignment="1" applyProtection="1">
      <alignment horizontal="center" wrapText="1"/>
      <protection locked="0"/>
    </xf>
    <xf numFmtId="0" fontId="1" fillId="2" borderId="12" xfId="0" applyFont="1" applyFill="1" applyBorder="1" applyAlignment="1" applyProtection="1">
      <alignment horizontal="center" wrapText="1"/>
      <protection hidden="1"/>
    </xf>
    <xf numFmtId="0" fontId="0" fillId="4" borderId="6" xfId="0" applyFill="1" applyBorder="1" applyAlignment="1" applyProtection="1">
      <alignment horizontal="left" wrapText="1"/>
      <protection locked="0"/>
    </xf>
    <xf numFmtId="0" fontId="0" fillId="4" borderId="7" xfId="0" applyFill="1" applyBorder="1" applyAlignment="1" applyProtection="1">
      <alignment horizontal="left" wrapText="1"/>
      <protection locked="0"/>
    </xf>
    <xf numFmtId="0" fontId="0" fillId="4" borderId="8" xfId="0" applyFill="1" applyBorder="1" applyAlignment="1" applyProtection="1">
      <alignment horizontal="left" wrapText="1"/>
      <protection locked="0"/>
    </xf>
    <xf numFmtId="0" fontId="0" fillId="4" borderId="9" xfId="0" applyFill="1" applyBorder="1" applyAlignment="1" applyProtection="1">
      <alignment horizontal="left" wrapText="1"/>
      <protection locked="0"/>
    </xf>
    <xf numFmtId="0" fontId="0" fillId="4" borderId="0" xfId="0" applyFill="1" applyAlignment="1" applyProtection="1">
      <alignment horizontal="left" wrapText="1"/>
      <protection locked="0"/>
    </xf>
    <xf numFmtId="0" fontId="0" fillId="4" borderId="10" xfId="0" applyFill="1" applyBorder="1" applyAlignment="1" applyProtection="1">
      <alignment horizontal="left" wrapText="1"/>
      <protection locked="0"/>
    </xf>
    <xf numFmtId="0" fontId="0" fillId="4" borderId="11" xfId="0" applyFill="1" applyBorder="1" applyAlignment="1" applyProtection="1">
      <alignment horizontal="left" wrapText="1"/>
      <protection locked="0"/>
    </xf>
    <xf numFmtId="0" fontId="0" fillId="4" borderId="12" xfId="0" applyFill="1" applyBorder="1" applyAlignment="1" applyProtection="1">
      <alignment horizontal="left" wrapText="1"/>
      <protection locked="0"/>
    </xf>
    <xf numFmtId="0" fontId="0" fillId="4" borderId="13" xfId="0" applyFill="1" applyBorder="1" applyAlignment="1" applyProtection="1">
      <alignment horizontal="left" wrapText="1"/>
      <protection locked="0"/>
    </xf>
    <xf numFmtId="0" fontId="14" fillId="6" borderId="19" xfId="0" applyFont="1" applyFill="1" applyBorder="1" applyAlignment="1" applyProtection="1">
      <alignment horizontal="justify" vertical="center" wrapText="1"/>
      <protection hidden="1"/>
    </xf>
    <xf numFmtId="0" fontId="14" fillId="6" borderId="15" xfId="0" applyFont="1" applyFill="1" applyBorder="1" applyAlignment="1" applyProtection="1">
      <alignment horizontal="justify" vertical="center" wrapText="1"/>
      <protection hidden="1"/>
    </xf>
    <xf numFmtId="0" fontId="14" fillId="6" borderId="19" xfId="0" applyFont="1" applyFill="1" applyBorder="1" applyAlignment="1" applyProtection="1">
      <alignment horizontal="right" vertical="center" wrapText="1"/>
      <protection hidden="1"/>
    </xf>
    <xf numFmtId="0" fontId="14" fillId="6" borderId="20" xfId="0" applyFont="1" applyFill="1" applyBorder="1" applyAlignment="1" applyProtection="1">
      <alignment horizontal="right" vertical="center" wrapText="1"/>
      <protection hidden="1"/>
    </xf>
    <xf numFmtId="0" fontId="14" fillId="6" borderId="15" xfId="0" applyFont="1" applyFill="1" applyBorder="1" applyAlignment="1" applyProtection="1">
      <alignment horizontal="right" vertical="center" wrapText="1"/>
      <protection hidden="1"/>
    </xf>
    <xf numFmtId="0" fontId="10" fillId="2" borderId="22" xfId="0" applyFont="1" applyFill="1" applyBorder="1" applyAlignment="1" applyProtection="1">
      <alignment horizont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121919</xdr:colOff>
      <xdr:row>26</xdr:row>
      <xdr:rowOff>83820</xdr:rowOff>
    </xdr:from>
    <xdr:to>
      <xdr:col>6</xdr:col>
      <xdr:colOff>748914</xdr:colOff>
      <xdr:row>40</xdr:row>
      <xdr:rowOff>2628900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60669FF-1EDD-4C56-9606-6112E348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6899" y="5966460"/>
          <a:ext cx="8580461" cy="5105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5"/>
  <sheetViews>
    <sheetView tabSelected="1" workbookViewId="0">
      <selection activeCell="C4" sqref="C4:D4"/>
    </sheetView>
  </sheetViews>
  <sheetFormatPr baseColWidth="10" defaultColWidth="11.4609375" defaultRowHeight="14.6" x14ac:dyDescent="0.4"/>
  <cols>
    <col min="2" max="2" width="15.84375" customWidth="1"/>
  </cols>
  <sheetData>
    <row r="1" spans="1:1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4">
      <c r="A2" s="1"/>
      <c r="B2" s="54" t="s">
        <v>67</v>
      </c>
      <c r="C2" s="54"/>
      <c r="D2" s="54"/>
      <c r="E2" s="54"/>
      <c r="F2" s="54"/>
      <c r="G2" s="54"/>
      <c r="H2" s="1"/>
      <c r="I2" s="1"/>
      <c r="J2" s="1"/>
      <c r="K2" s="1"/>
    </row>
    <row r="3" spans="1:11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5" thickBot="1" x14ac:dyDescent="0.45">
      <c r="A4" s="1"/>
      <c r="B4" s="1"/>
      <c r="C4" s="57" t="s">
        <v>68</v>
      </c>
      <c r="D4" s="57"/>
      <c r="E4" s="50" t="s">
        <v>69</v>
      </c>
      <c r="F4" s="1"/>
      <c r="G4" s="1"/>
      <c r="H4" s="1"/>
      <c r="I4" s="1"/>
      <c r="J4" s="1"/>
      <c r="K4" s="1"/>
    </row>
    <row r="5" spans="1:11" ht="15" thickBot="1" x14ac:dyDescent="0.45">
      <c r="A5" s="1"/>
      <c r="B5" s="2" t="s">
        <v>0</v>
      </c>
      <c r="C5" s="55" t="s">
        <v>70</v>
      </c>
      <c r="D5" s="56"/>
      <c r="E5" s="56"/>
      <c r="F5" s="53"/>
      <c r="G5" s="1"/>
      <c r="H5" s="1"/>
      <c r="I5" s="1"/>
      <c r="J5" s="1"/>
      <c r="K5" s="1"/>
    </row>
    <row r="6" spans="1:11" ht="15.75" customHeight="1" thickBot="1" x14ac:dyDescent="0.45">
      <c r="A6" s="1"/>
      <c r="B6" s="2" t="s">
        <v>0</v>
      </c>
      <c r="C6" s="51" t="s">
        <v>70</v>
      </c>
      <c r="D6" s="52"/>
      <c r="E6" s="52"/>
      <c r="F6" s="53"/>
      <c r="G6" s="1"/>
      <c r="H6" s="1"/>
      <c r="I6" s="1"/>
      <c r="J6" s="1"/>
      <c r="K6" s="1"/>
    </row>
    <row r="7" spans="1:11" ht="15.75" customHeight="1" thickBot="1" x14ac:dyDescent="0.45">
      <c r="A7" s="1"/>
      <c r="B7" s="2" t="s">
        <v>0</v>
      </c>
      <c r="C7" s="51" t="s">
        <v>70</v>
      </c>
      <c r="D7" s="52"/>
      <c r="E7" s="52"/>
      <c r="F7" s="53"/>
      <c r="G7" s="1"/>
      <c r="H7" s="1"/>
      <c r="I7" s="1"/>
      <c r="J7" s="1"/>
      <c r="K7" s="1"/>
    </row>
    <row r="8" spans="1:11" ht="15" thickBot="1" x14ac:dyDescent="0.45">
      <c r="A8" s="1"/>
      <c r="B8" s="2" t="s">
        <v>0</v>
      </c>
      <c r="C8" s="51" t="s">
        <v>70</v>
      </c>
      <c r="D8" s="52"/>
      <c r="E8" s="52"/>
      <c r="F8" s="53"/>
      <c r="G8" s="1"/>
      <c r="H8" s="1"/>
      <c r="I8" s="1"/>
      <c r="J8" s="1"/>
      <c r="K8" s="1"/>
    </row>
    <row r="9" spans="1:11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</sheetData>
  <sheetProtection sheet="1" objects="1" scenarios="1" formatCells="0" formatColumns="0" formatRows="0" insertRows="0" deleteRows="0" sort="0" autoFilter="0"/>
  <mergeCells count="6">
    <mergeCell ref="C8:F8"/>
    <mergeCell ref="B2:G2"/>
    <mergeCell ref="C5:F5"/>
    <mergeCell ref="C6:F6"/>
    <mergeCell ref="C7:F7"/>
    <mergeCell ref="C4:D4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47"/>
  <sheetViews>
    <sheetView topLeftCell="B1" zoomScale="80" zoomScaleNormal="80" workbookViewId="0">
      <selection activeCell="I3" sqref="I3:I12"/>
    </sheetView>
  </sheetViews>
  <sheetFormatPr baseColWidth="10" defaultColWidth="11.4609375" defaultRowHeight="14.6" x14ac:dyDescent="0.4"/>
  <cols>
    <col min="1" max="1" width="25.4609375" customWidth="1"/>
    <col min="2" max="2" width="17" customWidth="1"/>
    <col min="3" max="3" width="14.84375" style="17" customWidth="1"/>
    <col min="4" max="4" width="39.4609375" style="17" customWidth="1"/>
    <col min="5" max="5" width="13.53515625" customWidth="1"/>
    <col min="6" max="6" width="31.15234375" customWidth="1"/>
    <col min="7" max="7" width="15.15234375" customWidth="1"/>
    <col min="9" max="9" width="11.4609375" customWidth="1"/>
  </cols>
  <sheetData>
    <row r="1" spans="1:13" ht="15.9" x14ac:dyDescent="0.45">
      <c r="A1" s="3" t="s">
        <v>1</v>
      </c>
      <c r="B1" s="3" t="s">
        <v>2</v>
      </c>
      <c r="C1" s="14" t="s">
        <v>3</v>
      </c>
      <c r="D1" s="14" t="s">
        <v>4</v>
      </c>
      <c r="E1" s="3" t="s">
        <v>5</v>
      </c>
      <c r="F1" s="3" t="s">
        <v>6</v>
      </c>
      <c r="G1" s="3" t="s">
        <v>7</v>
      </c>
      <c r="H1" s="1"/>
    </row>
    <row r="2" spans="1:13" x14ac:dyDescent="0.4">
      <c r="A2" s="37"/>
      <c r="B2" s="37"/>
      <c r="C2" s="38"/>
      <c r="D2" s="39"/>
      <c r="E2" s="37"/>
      <c r="F2" s="37"/>
      <c r="G2" s="41"/>
      <c r="H2" s="1"/>
      <c r="M2" s="5" t="s">
        <v>9</v>
      </c>
    </row>
    <row r="3" spans="1:13" ht="57" customHeight="1" x14ac:dyDescent="0.4">
      <c r="A3" s="37"/>
      <c r="B3" s="37"/>
      <c r="C3" s="38"/>
      <c r="D3" s="39"/>
      <c r="E3" s="37"/>
      <c r="F3" s="37"/>
      <c r="G3" s="41"/>
      <c r="H3" s="1"/>
      <c r="J3" s="5" t="s">
        <v>8</v>
      </c>
      <c r="M3" s="5" t="s">
        <v>10</v>
      </c>
    </row>
    <row r="4" spans="1:13" x14ac:dyDescent="0.4">
      <c r="A4" s="37"/>
      <c r="B4" s="37"/>
      <c r="C4" s="38"/>
      <c r="D4" s="40"/>
      <c r="E4" s="37"/>
      <c r="F4" s="37"/>
      <c r="G4" s="41"/>
      <c r="H4" s="1"/>
      <c r="J4" s="5" t="s">
        <v>11</v>
      </c>
      <c r="M4" s="5" t="s">
        <v>12</v>
      </c>
    </row>
    <row r="5" spans="1:13" x14ac:dyDescent="0.4">
      <c r="A5" s="37"/>
      <c r="B5" s="37"/>
      <c r="C5" s="38"/>
      <c r="D5" s="40"/>
      <c r="E5" s="37"/>
      <c r="F5" s="37"/>
      <c r="G5" s="41"/>
      <c r="H5" s="1"/>
    </row>
    <row r="6" spans="1:13" x14ac:dyDescent="0.4">
      <c r="A6" s="37"/>
      <c r="B6" s="37"/>
      <c r="C6" s="38"/>
      <c r="D6" s="39"/>
      <c r="E6" s="37"/>
      <c r="F6" s="37"/>
      <c r="G6" s="41"/>
      <c r="H6" s="1"/>
    </row>
    <row r="7" spans="1:13" x14ac:dyDescent="0.4">
      <c r="A7" s="37"/>
      <c r="B7" s="37"/>
      <c r="C7" s="38"/>
      <c r="D7" s="38"/>
      <c r="E7" s="37"/>
      <c r="F7" s="37"/>
      <c r="G7" s="41" t="str">
        <f>IF(ISBLANK(A7),"",HLOOKUP(I7,Referencia!$A$1:$C$13,ROW(H7),FALSE))</f>
        <v/>
      </c>
      <c r="H7" s="1"/>
    </row>
    <row r="8" spans="1:13" x14ac:dyDescent="0.4">
      <c r="A8" s="37"/>
      <c r="B8" s="37"/>
      <c r="C8" s="38"/>
      <c r="D8" s="38"/>
      <c r="E8" s="37"/>
      <c r="F8" s="37"/>
      <c r="G8" s="41" t="str">
        <f>IF(ISBLANK(A8),"",HLOOKUP(I8,Referencia!$A$1:$C$13,ROW(H8),FALSE))</f>
        <v/>
      </c>
      <c r="H8" s="1"/>
    </row>
    <row r="9" spans="1:13" x14ac:dyDescent="0.4">
      <c r="A9" s="37"/>
      <c r="B9" s="37"/>
      <c r="C9" s="38"/>
      <c r="D9" s="38"/>
      <c r="E9" s="37"/>
      <c r="F9" s="37"/>
      <c r="G9" s="41" t="str">
        <f>IF(ISBLANK(A9),"",HLOOKUP(I9,Referencia!$A$1:$C$13,ROW(H9),FALSE))</f>
        <v/>
      </c>
      <c r="H9" s="1"/>
    </row>
    <row r="10" spans="1:13" x14ac:dyDescent="0.4">
      <c r="A10" s="37"/>
      <c r="B10" s="37"/>
      <c r="C10" s="38"/>
      <c r="D10" s="38"/>
      <c r="E10" s="37"/>
      <c r="F10" s="37"/>
      <c r="G10" s="41" t="str">
        <f>IF(ISBLANK(A10),"",HLOOKUP(I10,Referencia!$A$1:$C$13,ROW(H10),FALSE))</f>
        <v/>
      </c>
      <c r="H10" s="1"/>
    </row>
    <row r="11" spans="1:13" x14ac:dyDescent="0.4">
      <c r="A11" s="37"/>
      <c r="B11" s="37"/>
      <c r="C11" s="38"/>
      <c r="D11" s="38"/>
      <c r="E11" s="37"/>
      <c r="F11" s="37"/>
      <c r="G11" s="41" t="str">
        <f>IF(ISBLANK(A11),"",HLOOKUP(I11,Referencia!$A$1:$C$13,ROW(H11),FALSE))</f>
        <v/>
      </c>
      <c r="H11" s="1"/>
    </row>
    <row r="12" spans="1:13" x14ac:dyDescent="0.4">
      <c r="A12" s="37"/>
      <c r="B12" s="37"/>
      <c r="C12" s="38"/>
      <c r="D12" s="38"/>
      <c r="E12" s="37"/>
      <c r="F12" s="37"/>
      <c r="G12" s="41" t="str">
        <f>IF(ISBLANK(A12),"",HLOOKUP(I12,Referencia!$A$1:$C$13,ROW(H12),FALSE))</f>
        <v/>
      </c>
      <c r="H12" s="1"/>
    </row>
    <row r="13" spans="1:13" x14ac:dyDescent="0.4">
      <c r="A13" s="1"/>
      <c r="B13" s="1"/>
      <c r="C13" s="16"/>
      <c r="D13" s="16"/>
      <c r="E13" s="1"/>
      <c r="F13" s="1"/>
      <c r="G13" s="1"/>
      <c r="H13" s="1"/>
    </row>
    <row r="14" spans="1:13" ht="15" thickBot="1" x14ac:dyDescent="0.45">
      <c r="A14" s="1"/>
      <c r="B14" s="1"/>
      <c r="C14" s="58" t="s">
        <v>13</v>
      </c>
      <c r="D14" s="58"/>
      <c r="E14" s="58"/>
      <c r="F14" s="58"/>
      <c r="G14" s="1"/>
      <c r="H14" s="1"/>
    </row>
    <row r="15" spans="1:13" x14ac:dyDescent="0.4">
      <c r="A15" s="1"/>
      <c r="B15" s="68"/>
      <c r="C15" s="69"/>
      <c r="D15" s="69"/>
      <c r="E15" s="69"/>
      <c r="F15" s="69"/>
      <c r="G15" s="70"/>
      <c r="H15" s="1"/>
    </row>
    <row r="16" spans="1:13" x14ac:dyDescent="0.4">
      <c r="A16" s="1"/>
      <c r="B16" s="71"/>
      <c r="C16" s="72"/>
      <c r="D16" s="72"/>
      <c r="E16" s="72"/>
      <c r="F16" s="72"/>
      <c r="G16" s="73"/>
      <c r="H16" s="1"/>
    </row>
    <row r="17" spans="1:8" ht="15" thickBot="1" x14ac:dyDescent="0.45">
      <c r="A17" s="1"/>
      <c r="B17" s="74"/>
      <c r="C17" s="75"/>
      <c r="D17" s="75"/>
      <c r="E17" s="75"/>
      <c r="F17" s="75"/>
      <c r="G17" s="76"/>
      <c r="H17" s="1"/>
    </row>
    <row r="18" spans="1:8" x14ac:dyDescent="0.4">
      <c r="A18" s="1"/>
      <c r="B18" s="1"/>
      <c r="C18" s="16"/>
      <c r="D18" s="16"/>
      <c r="E18" s="1"/>
      <c r="F18" s="1"/>
      <c r="G18" s="1"/>
      <c r="H18" s="1"/>
    </row>
    <row r="19" spans="1:8" x14ac:dyDescent="0.4">
      <c r="A19" s="1"/>
      <c r="B19" s="1"/>
      <c r="C19" s="16"/>
      <c r="D19" s="16"/>
      <c r="E19" s="1"/>
      <c r="F19" s="1"/>
      <c r="G19" s="1"/>
      <c r="H19" s="1"/>
    </row>
    <row r="20" spans="1:8" ht="15" thickBot="1" x14ac:dyDescent="0.45">
      <c r="A20" s="1"/>
      <c r="B20" s="1"/>
      <c r="C20" s="16"/>
      <c r="D20" s="16"/>
      <c r="E20" s="1"/>
      <c r="F20" s="1"/>
      <c r="G20" s="1"/>
      <c r="H20" s="1"/>
    </row>
    <row r="21" spans="1:8" x14ac:dyDescent="0.4">
      <c r="A21" s="1"/>
      <c r="B21" s="59" t="s">
        <v>14</v>
      </c>
      <c r="C21" s="60"/>
      <c r="D21" s="60"/>
      <c r="E21" s="60"/>
      <c r="F21" s="60"/>
      <c r="G21" s="61"/>
      <c r="H21" s="1"/>
    </row>
    <row r="22" spans="1:8" x14ac:dyDescent="0.4">
      <c r="A22" s="1"/>
      <c r="B22" s="62"/>
      <c r="C22" s="63"/>
      <c r="D22" s="63"/>
      <c r="E22" s="63"/>
      <c r="F22" s="63"/>
      <c r="G22" s="64"/>
      <c r="H22" s="1"/>
    </row>
    <row r="23" spans="1:8" x14ac:dyDescent="0.4">
      <c r="A23" s="1"/>
      <c r="B23" s="62"/>
      <c r="C23" s="63"/>
      <c r="D23" s="63"/>
      <c r="E23" s="63"/>
      <c r="F23" s="63"/>
      <c r="G23" s="64"/>
      <c r="H23" s="1"/>
    </row>
    <row r="24" spans="1:8" x14ac:dyDescent="0.4">
      <c r="A24" s="1"/>
      <c r="B24" s="62"/>
      <c r="C24" s="63"/>
      <c r="D24" s="63"/>
      <c r="E24" s="63"/>
      <c r="F24" s="63"/>
      <c r="G24" s="64"/>
      <c r="H24" s="1"/>
    </row>
    <row r="25" spans="1:8" x14ac:dyDescent="0.4">
      <c r="A25" s="1"/>
      <c r="B25" s="62"/>
      <c r="C25" s="63"/>
      <c r="D25" s="63"/>
      <c r="E25" s="63"/>
      <c r="F25" s="63"/>
      <c r="G25" s="64"/>
      <c r="H25" s="1"/>
    </row>
    <row r="26" spans="1:8" x14ac:dyDescent="0.4">
      <c r="A26" s="1"/>
      <c r="B26" s="62"/>
      <c r="C26" s="63"/>
      <c r="D26" s="63"/>
      <c r="E26" s="63"/>
      <c r="F26" s="63"/>
      <c r="G26" s="64"/>
      <c r="H26" s="1"/>
    </row>
    <row r="27" spans="1:8" x14ac:dyDescent="0.4">
      <c r="A27" s="1"/>
      <c r="B27" s="62"/>
      <c r="C27" s="63"/>
      <c r="D27" s="63"/>
      <c r="E27" s="63"/>
      <c r="F27" s="63"/>
      <c r="G27" s="64"/>
      <c r="H27" s="1"/>
    </row>
    <row r="28" spans="1:8" x14ac:dyDescent="0.4">
      <c r="A28" s="1"/>
      <c r="B28" s="62"/>
      <c r="C28" s="63"/>
      <c r="D28" s="63"/>
      <c r="E28" s="63"/>
      <c r="F28" s="63"/>
      <c r="G28" s="64"/>
      <c r="H28" s="1"/>
    </row>
    <row r="29" spans="1:8" x14ac:dyDescent="0.4">
      <c r="A29" s="1"/>
      <c r="B29" s="62"/>
      <c r="C29" s="63"/>
      <c r="D29" s="63"/>
      <c r="E29" s="63"/>
      <c r="F29" s="63"/>
      <c r="G29" s="64"/>
      <c r="H29" s="1"/>
    </row>
    <row r="30" spans="1:8" x14ac:dyDescent="0.4">
      <c r="A30" s="1"/>
      <c r="B30" s="62"/>
      <c r="C30" s="63"/>
      <c r="D30" s="63"/>
      <c r="E30" s="63"/>
      <c r="F30" s="63"/>
      <c r="G30" s="64"/>
      <c r="H30" s="1"/>
    </row>
    <row r="31" spans="1:8" x14ac:dyDescent="0.4">
      <c r="A31" s="1"/>
      <c r="B31" s="62"/>
      <c r="C31" s="63"/>
      <c r="D31" s="63"/>
      <c r="E31" s="63"/>
      <c r="F31" s="63"/>
      <c r="G31" s="64"/>
      <c r="H31" s="1"/>
    </row>
    <row r="32" spans="1:8" x14ac:dyDescent="0.4">
      <c r="A32" s="1"/>
      <c r="B32" s="62"/>
      <c r="C32" s="63"/>
      <c r="D32" s="63"/>
      <c r="E32" s="63"/>
      <c r="F32" s="63"/>
      <c r="G32" s="64"/>
      <c r="H32" s="1"/>
    </row>
    <row r="33" spans="1:8" x14ac:dyDescent="0.4">
      <c r="A33" s="1"/>
      <c r="B33" s="62"/>
      <c r="C33" s="63"/>
      <c r="D33" s="63"/>
      <c r="E33" s="63"/>
      <c r="F33" s="63"/>
      <c r="G33" s="64"/>
      <c r="H33" s="1"/>
    </row>
    <row r="34" spans="1:8" x14ac:dyDescent="0.4">
      <c r="A34" s="1"/>
      <c r="B34" s="62"/>
      <c r="C34" s="63"/>
      <c r="D34" s="63"/>
      <c r="E34" s="63"/>
      <c r="F34" s="63"/>
      <c r="G34" s="64"/>
      <c r="H34" s="1"/>
    </row>
    <row r="35" spans="1:8" x14ac:dyDescent="0.4">
      <c r="A35" s="1"/>
      <c r="B35" s="62"/>
      <c r="C35" s="63"/>
      <c r="D35" s="63"/>
      <c r="E35" s="63"/>
      <c r="F35" s="63"/>
      <c r="G35" s="64"/>
      <c r="H35" s="1"/>
    </row>
    <row r="36" spans="1:8" x14ac:dyDescent="0.4">
      <c r="A36" s="1"/>
      <c r="B36" s="62"/>
      <c r="C36" s="63"/>
      <c r="D36" s="63"/>
      <c r="E36" s="63"/>
      <c r="F36" s="63"/>
      <c r="G36" s="64"/>
      <c r="H36" s="1"/>
    </row>
    <row r="37" spans="1:8" x14ac:dyDescent="0.4">
      <c r="A37" s="1"/>
      <c r="B37" s="62"/>
      <c r="C37" s="63"/>
      <c r="D37" s="63"/>
      <c r="E37" s="63"/>
      <c r="F37" s="63"/>
      <c r="G37" s="64"/>
      <c r="H37" s="1"/>
    </row>
    <row r="38" spans="1:8" x14ac:dyDescent="0.4">
      <c r="A38" s="1"/>
      <c r="B38" s="62"/>
      <c r="C38" s="63"/>
      <c r="D38" s="63"/>
      <c r="E38" s="63"/>
      <c r="F38" s="63"/>
      <c r="G38" s="64"/>
      <c r="H38" s="1"/>
    </row>
    <row r="39" spans="1:8" x14ac:dyDescent="0.4">
      <c r="A39" s="1"/>
      <c r="B39" s="62"/>
      <c r="C39" s="63"/>
      <c r="D39" s="63"/>
      <c r="E39" s="63"/>
      <c r="F39" s="63"/>
      <c r="G39" s="64"/>
      <c r="H39" s="1"/>
    </row>
    <row r="40" spans="1:8" x14ac:dyDescent="0.4">
      <c r="A40" s="1"/>
      <c r="B40" s="62"/>
      <c r="C40" s="63"/>
      <c r="D40" s="63"/>
      <c r="E40" s="63"/>
      <c r="F40" s="63"/>
      <c r="G40" s="64"/>
      <c r="H40" s="1"/>
    </row>
    <row r="41" spans="1:8" ht="396" customHeight="1" thickBot="1" x14ac:dyDescent="0.45">
      <c r="A41" s="1"/>
      <c r="B41" s="65"/>
      <c r="C41" s="66"/>
      <c r="D41" s="66"/>
      <c r="E41" s="66"/>
      <c r="F41" s="66"/>
      <c r="G41" s="67"/>
      <c r="H41" s="1"/>
    </row>
    <row r="42" spans="1:8" x14ac:dyDescent="0.4">
      <c r="A42" s="1"/>
      <c r="B42" s="1"/>
      <c r="C42" s="16"/>
      <c r="D42" s="16"/>
      <c r="E42" s="1"/>
      <c r="F42" s="1"/>
      <c r="G42" s="1"/>
      <c r="H42" s="1"/>
    </row>
    <row r="43" spans="1:8" x14ac:dyDescent="0.4">
      <c r="A43" s="1"/>
      <c r="B43" s="1"/>
      <c r="C43" s="16"/>
      <c r="D43" s="16"/>
      <c r="E43" s="1"/>
      <c r="F43" s="1"/>
      <c r="G43" s="1"/>
      <c r="H43" s="1"/>
    </row>
    <row r="44" spans="1:8" x14ac:dyDescent="0.4">
      <c r="A44" s="1"/>
      <c r="B44" s="1"/>
      <c r="C44" s="16"/>
      <c r="D44" s="16"/>
      <c r="E44" s="1"/>
      <c r="F44" s="1"/>
      <c r="G44" s="1"/>
      <c r="H44" s="1"/>
    </row>
    <row r="45" spans="1:8" x14ac:dyDescent="0.4">
      <c r="A45" s="1"/>
      <c r="B45" s="1"/>
      <c r="C45" s="16"/>
      <c r="D45" s="16"/>
      <c r="E45" s="1"/>
      <c r="F45" s="1"/>
      <c r="G45" s="1"/>
      <c r="H45" s="1"/>
    </row>
    <row r="46" spans="1:8" x14ac:dyDescent="0.4">
      <c r="A46" s="1"/>
      <c r="B46" s="1"/>
      <c r="C46" s="16"/>
      <c r="D46" s="16"/>
      <c r="E46" s="1"/>
      <c r="F46" s="1"/>
      <c r="G46" s="1"/>
      <c r="H46" s="1"/>
    </row>
    <row r="47" spans="1:8" x14ac:dyDescent="0.4">
      <c r="A47" s="1"/>
      <c r="B47" s="1"/>
      <c r="C47" s="16"/>
      <c r="D47" s="16"/>
      <c r="E47" s="1"/>
      <c r="F47" s="1"/>
      <c r="G47" s="1"/>
      <c r="H47" s="1"/>
    </row>
  </sheetData>
  <mergeCells count="3">
    <mergeCell ref="C14:F14"/>
    <mergeCell ref="B21:G41"/>
    <mergeCell ref="B15:G17"/>
  </mergeCells>
  <dataValidations count="2">
    <dataValidation type="list" allowBlank="1" showInputMessage="1" showErrorMessage="1" sqref="B2:B12" xr:uid="{00000000-0002-0000-0100-000000000000}">
      <formula1>$J$3:$J$4</formula1>
    </dataValidation>
    <dataValidation type="whole" operator="greaterThanOrEqual" allowBlank="1" showInputMessage="1" showErrorMessage="1" sqref="C2:C12 E2:E12" xr:uid="{00000000-0002-0000-0100-000001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22"/>
  <sheetViews>
    <sheetView topLeftCell="A7" workbookViewId="0">
      <selection activeCell="K24" sqref="K24"/>
    </sheetView>
  </sheetViews>
  <sheetFormatPr baseColWidth="10" defaultColWidth="11.4609375" defaultRowHeight="14.6" x14ac:dyDescent="0.4"/>
  <cols>
    <col min="1" max="3" width="11.53515625" style="18"/>
  </cols>
  <sheetData>
    <row r="1" spans="1:14" ht="29.6" thickBot="1" x14ac:dyDescent="0.45">
      <c r="A1" s="19">
        <v>1</v>
      </c>
      <c r="B1" s="19">
        <v>2</v>
      </c>
      <c r="C1" s="19">
        <v>3</v>
      </c>
      <c r="E1" s="20"/>
      <c r="F1" s="21" t="s">
        <v>15</v>
      </c>
      <c r="G1" s="21" t="s">
        <v>16</v>
      </c>
      <c r="H1" s="21" t="s">
        <v>17</v>
      </c>
      <c r="I1" s="21" t="s">
        <v>18</v>
      </c>
      <c r="L1" s="19">
        <v>1</v>
      </c>
      <c r="M1" s="19">
        <v>2</v>
      </c>
      <c r="N1" s="19">
        <v>3</v>
      </c>
    </row>
    <row r="2" spans="1:14" ht="15" thickBot="1" x14ac:dyDescent="0.45">
      <c r="A2" s="19" t="str">
        <f>IF(Datos!C2&lt;51,"Baja","Media")</f>
        <v>Baja</v>
      </c>
      <c r="B2" s="19" t="str" cm="1">
        <f t="array" ref="B2">_xlfn.IFS(Datos!C2&lt;20,"Baja",Datos!C2&gt;50,"Alta",AND(Datos!C2&gt;19,Datos!C2&lt;51),"Media")</f>
        <v>Baja</v>
      </c>
      <c r="C2" s="19" t="str">
        <f>IF(Datos!C2&lt;20,"Media","Alta")</f>
        <v>Media</v>
      </c>
      <c r="E2" s="22" t="s">
        <v>8</v>
      </c>
      <c r="F2" s="28">
        <v>7</v>
      </c>
      <c r="G2" s="28">
        <v>10</v>
      </c>
      <c r="H2" s="28">
        <v>15</v>
      </c>
      <c r="I2" s="23"/>
      <c r="L2" s="19" t="str">
        <f>IF(Transacciones!$E2&lt;16,"Baja","Media")</f>
        <v>Baja</v>
      </c>
      <c r="M2" s="19" t="str" cm="1">
        <f t="array" ref="M2">_xlfn.IFS(Transacciones!$E2&lt;5,"Baja",Transacciones!$E2&gt;15,"Alta",AND(Transacciones!$E2&gt;4,Transacciones!$E2&lt;16),"Media")</f>
        <v>Baja</v>
      </c>
      <c r="N2" s="19" t="str">
        <f>IF(Transacciones!$E2&lt;5,"Media","Alta")</f>
        <v>Media</v>
      </c>
    </row>
    <row r="3" spans="1:14" ht="15" thickBot="1" x14ac:dyDescent="0.45">
      <c r="A3" s="19" t="str">
        <f>IF(Datos!C3&lt;51,"Baja","Media")</f>
        <v>Baja</v>
      </c>
      <c r="B3" s="19" t="str" cm="1">
        <f t="array" ref="B3">_xlfn.IFS(Datos!C3&lt;20,"Baja",Datos!C3&gt;50,"Alta",AND(Datos!C3&gt;19,Datos!C3&lt;51),"Media")</f>
        <v>Baja</v>
      </c>
      <c r="C3" s="19" t="str">
        <f>IF(Datos!C3&lt;20,"Media","Alta")</f>
        <v>Media</v>
      </c>
      <c r="E3" s="22" t="s">
        <v>11</v>
      </c>
      <c r="F3" s="28">
        <v>5</v>
      </c>
      <c r="G3" s="28">
        <v>7</v>
      </c>
      <c r="H3" s="28">
        <v>10</v>
      </c>
      <c r="I3" s="23"/>
      <c r="L3" s="19" t="str">
        <f>IF(Transacciones!$E3&lt;16,"Baja","Media")</f>
        <v>Baja</v>
      </c>
      <c r="M3" s="19" t="str" cm="1">
        <f t="array" ref="M3">_xlfn.IFS(Transacciones!$E3&lt;5,"Baja",Transacciones!$E3&gt;15,"Alta",AND(Transacciones!$E3&gt;4,Transacciones!$E3&lt;16),"Media")</f>
        <v>Baja</v>
      </c>
      <c r="N3" s="19" t="str">
        <f>IF(Transacciones!$E3&lt;5,"Media","Alta")</f>
        <v>Media</v>
      </c>
    </row>
    <row r="4" spans="1:14" ht="15" thickBot="1" x14ac:dyDescent="0.45">
      <c r="A4" s="19" t="str">
        <f>IF(Datos!C4&lt;51,"Baja","Media")</f>
        <v>Baja</v>
      </c>
      <c r="B4" s="19" t="str" cm="1">
        <f t="array" ref="B4">_xlfn.IFS(Datos!C4&lt;20,"Baja",Datos!C4&gt;50,"Alta",AND(Datos!C4&gt;19,Datos!C4&lt;51),"Media")</f>
        <v>Baja</v>
      </c>
      <c r="C4" s="19" t="str">
        <f>IF(Datos!C4&lt;20,"Media","Alta")</f>
        <v>Media</v>
      </c>
      <c r="E4" s="22" t="s">
        <v>19</v>
      </c>
      <c r="F4" s="28">
        <v>3</v>
      </c>
      <c r="G4" s="28">
        <v>4</v>
      </c>
      <c r="H4" s="28">
        <v>6</v>
      </c>
      <c r="I4" s="23"/>
      <c r="L4" s="19" t="str">
        <f>IF(Transacciones!$E4&lt;16,"Baja","Media")</f>
        <v>Baja</v>
      </c>
      <c r="M4" s="19" t="str" cm="1">
        <f t="array" ref="M4">_xlfn.IFS(Transacciones!$E4&lt;5,"Baja",Transacciones!$E4&gt;15,"Alta",AND(Transacciones!$E4&gt;4,Transacciones!$E4&lt;16),"Media")</f>
        <v>Baja</v>
      </c>
      <c r="N4" s="19" t="str">
        <f>IF(Transacciones!$E4&lt;5,"Media","Alta")</f>
        <v>Media</v>
      </c>
    </row>
    <row r="5" spans="1:14" ht="15" thickBot="1" x14ac:dyDescent="0.45">
      <c r="A5" s="19" t="str">
        <f>IF(Datos!C5&lt;51,"Baja","Media")</f>
        <v>Baja</v>
      </c>
      <c r="B5" s="19" t="str" cm="1">
        <f t="array" ref="B5">_xlfn.IFS(Datos!C5&lt;20,"Baja",Datos!C5&gt;50,"Alta",AND(Datos!C5&gt;19,Datos!C5&lt;51),"Media")</f>
        <v>Baja</v>
      </c>
      <c r="C5" s="19" t="str">
        <f>IF(Datos!C5&lt;20,"Media","Alta")</f>
        <v>Media</v>
      </c>
      <c r="E5" s="22" t="s">
        <v>20</v>
      </c>
      <c r="F5" s="28">
        <v>4</v>
      </c>
      <c r="G5" s="28">
        <v>5</v>
      </c>
      <c r="H5" s="28">
        <v>7</v>
      </c>
      <c r="I5" s="23"/>
      <c r="L5" s="19" t="str">
        <f>IF(Transacciones!$E5&lt;16,"Baja","Media")</f>
        <v>Baja</v>
      </c>
      <c r="M5" s="19" t="str" cm="1">
        <f t="array" ref="M5">_xlfn.IFS(Transacciones!$E5&lt;5,"Baja",Transacciones!$E5&gt;15,"Alta",AND(Transacciones!$E5&gt;4,Transacciones!$E5&lt;16),"Media")</f>
        <v>Baja</v>
      </c>
      <c r="N5" s="19" t="str">
        <f>IF(Transacciones!$E5&lt;5,"Media","Alta")</f>
        <v>Media</v>
      </c>
    </row>
    <row r="6" spans="1:14" ht="15" thickBot="1" x14ac:dyDescent="0.45">
      <c r="A6" s="19" t="str">
        <f>IF(Datos!C6&lt;51,"Baja","Media")</f>
        <v>Baja</v>
      </c>
      <c r="B6" s="19" t="str" cm="1">
        <f t="array" ref="B6">_xlfn.IFS(Datos!C6&lt;20,"Baja",Datos!C6&gt;50,"Alta",AND(Datos!C6&gt;19,Datos!C6&lt;51),"Media")</f>
        <v>Baja</v>
      </c>
      <c r="C6" s="19" t="str">
        <f>IF(Datos!C6&lt;20,"Media","Alta")</f>
        <v>Media</v>
      </c>
      <c r="E6" s="22" t="s">
        <v>21</v>
      </c>
      <c r="F6" s="29">
        <v>3</v>
      </c>
      <c r="G6" s="29">
        <v>4</v>
      </c>
      <c r="H6" s="29">
        <v>6</v>
      </c>
      <c r="I6" s="23"/>
      <c r="L6" s="19" t="str">
        <f>IF(Transacciones!$E6&lt;16,"Baja","Media")</f>
        <v>Baja</v>
      </c>
      <c r="M6" s="19" t="str" cm="1">
        <f t="array" ref="M6">_xlfn.IFS(Transacciones!$E6&lt;5,"Baja",Transacciones!$E6&gt;15,"Alta",AND(Transacciones!$E6&gt;4,Transacciones!$E6&lt;16),"Media")</f>
        <v>Baja</v>
      </c>
      <c r="N6" s="19" t="str">
        <f>IF(Transacciones!$E6&lt;5,"Media","Alta")</f>
        <v>Media</v>
      </c>
    </row>
    <row r="7" spans="1:14" ht="44.15" thickBot="1" x14ac:dyDescent="0.45">
      <c r="A7" s="19" t="str">
        <f>IF(Datos!C7&lt;51,"Baja","Media")</f>
        <v>Baja</v>
      </c>
      <c r="B7" s="19" t="str" cm="1">
        <f t="array" ref="B7">_xlfn.IFS(Datos!C7&lt;20,"Baja",Datos!C7&gt;50,"Alta",AND(Datos!C7&gt;19,Datos!C7&lt;51),"Media")</f>
        <v>Baja</v>
      </c>
      <c r="C7" s="19" t="str">
        <f>IF(Datos!C7&lt;20,"Media","Alta")</f>
        <v>Media</v>
      </c>
      <c r="E7" s="24" t="s">
        <v>22</v>
      </c>
      <c r="F7" s="25"/>
      <c r="G7" s="25"/>
      <c r="H7" s="25"/>
      <c r="I7" s="23"/>
      <c r="L7" s="19" t="str">
        <f>IF(Transacciones!$E7&lt;16,"Baja","Media")</f>
        <v>Baja</v>
      </c>
      <c r="M7" s="19" t="str" cm="1">
        <f t="array" ref="M7">_xlfn.IFS(Transacciones!$E7&lt;5,"Baja",Transacciones!$E7&gt;15,"Alta",AND(Transacciones!$E7&gt;4,Transacciones!$E7&lt;16),"Media")</f>
        <v>Baja</v>
      </c>
      <c r="N7" s="19" t="str">
        <f>IF(Transacciones!$E7&lt;5,"Media","Alta")</f>
        <v>Media</v>
      </c>
    </row>
    <row r="8" spans="1:14" ht="44.15" thickBot="1" x14ac:dyDescent="0.45">
      <c r="A8" s="19" t="str">
        <f>IF(Datos!C8&lt;51,"Baja","Media")</f>
        <v>Baja</v>
      </c>
      <c r="B8" s="19" t="str" cm="1">
        <f t="array" ref="B8">_xlfn.IFS(Datos!C8&lt;20,"Baja",Datos!C8&gt;50,"Alta",AND(Datos!C8&gt;19,Datos!C8&lt;51),"Media")</f>
        <v>Baja</v>
      </c>
      <c r="C8" s="19" t="str">
        <f>IF(Datos!C8&lt;20,"Media","Alta")</f>
        <v>Media</v>
      </c>
      <c r="E8" s="24" t="s">
        <v>23</v>
      </c>
      <c r="F8" s="26"/>
      <c r="G8" s="77" t="s">
        <v>24</v>
      </c>
      <c r="H8" s="78"/>
      <c r="I8" s="23"/>
      <c r="L8" s="19" t="str">
        <f>IF(Transacciones!$E8&lt;16,"Baja","Media")</f>
        <v>Baja</v>
      </c>
      <c r="M8" s="19" t="str" cm="1">
        <f t="array" ref="M8">_xlfn.IFS(Transacciones!$E8&lt;5,"Baja",Transacciones!$E8&gt;15,"Alta",AND(Transacciones!$E8&gt;4,Transacciones!$E8&lt;16),"Media")</f>
        <v>Baja</v>
      </c>
      <c r="N8" s="19" t="str">
        <f>IF(Transacciones!$E8&lt;5,"Media","Alta")</f>
        <v>Media</v>
      </c>
    </row>
    <row r="9" spans="1:14" ht="15" thickBot="1" x14ac:dyDescent="0.45">
      <c r="A9" s="19" t="str">
        <f>IF(Datos!C9&lt;51,"Baja","Media")</f>
        <v>Baja</v>
      </c>
      <c r="B9" s="19" t="str" cm="1">
        <f t="array" ref="B9">_xlfn.IFS(Datos!C9&lt;20,"Baja",Datos!C9&gt;50,"Alta",AND(Datos!C9&gt;19,Datos!C9&lt;51),"Media")</f>
        <v>Baja</v>
      </c>
      <c r="C9" s="19" t="str">
        <f>IF(Datos!C9&lt;20,"Media","Alta")</f>
        <v>Media</v>
      </c>
      <c r="E9" s="27"/>
      <c r="F9" s="79" t="s">
        <v>25</v>
      </c>
      <c r="G9" s="80"/>
      <c r="H9" s="81"/>
      <c r="I9" s="23"/>
      <c r="L9" s="19" t="str">
        <f>IF(Transacciones!$E9&lt;16,"Baja","Media")</f>
        <v>Baja</v>
      </c>
      <c r="M9" s="19" t="str" cm="1">
        <f t="array" ref="M9">_xlfn.IFS(Transacciones!$E9&lt;5,"Baja",Transacciones!$E9&gt;15,"Alta",AND(Transacciones!$E9&gt;4,Transacciones!$E9&lt;16),"Media")</f>
        <v>Baja</v>
      </c>
      <c r="N9" s="19" t="str">
        <f>IF(Transacciones!$E9&lt;5,"Media","Alta")</f>
        <v>Media</v>
      </c>
    </row>
    <row r="10" spans="1:14" x14ac:dyDescent="0.4">
      <c r="A10" s="19" t="str">
        <f>IF(Datos!C10&lt;51,"Baja","Media")</f>
        <v>Baja</v>
      </c>
      <c r="B10" s="19" t="str" cm="1">
        <f t="array" ref="B10">_xlfn.IFS(Datos!C10&lt;20,"Baja",Datos!C10&gt;50,"Alta",AND(Datos!C10&gt;19,Datos!C10&lt;51),"Media")</f>
        <v>Baja</v>
      </c>
      <c r="C10" s="19" t="str">
        <f>IF(Datos!C10&lt;20,"Media","Alta")</f>
        <v>Media</v>
      </c>
      <c r="L10" s="19" t="str">
        <f>IF(Transacciones!$E10&lt;16,"Baja","Media")</f>
        <v>Baja</v>
      </c>
      <c r="M10" s="19" t="str" cm="1">
        <f t="array" ref="M10">_xlfn.IFS(Transacciones!$E10&lt;5,"Baja",Transacciones!$E10&gt;15,"Alta",AND(Transacciones!$E10&gt;4,Transacciones!$E10&lt;16),"Media")</f>
        <v>Baja</v>
      </c>
      <c r="N10" s="19" t="str">
        <f>IF(Transacciones!$E10&lt;5,"Media","Alta")</f>
        <v>Media</v>
      </c>
    </row>
    <row r="11" spans="1:14" x14ac:dyDescent="0.4">
      <c r="A11" s="19" t="str">
        <f>IF(Datos!C11&lt;51,"Baja","Media")</f>
        <v>Baja</v>
      </c>
      <c r="B11" s="19" t="str" cm="1">
        <f t="array" ref="B11">_xlfn.IFS(Datos!C11&lt;20,"Baja",Datos!C11&gt;50,"Alta",AND(Datos!C11&gt;19,Datos!C11&lt;51),"Media")</f>
        <v>Baja</v>
      </c>
      <c r="C11" s="19" t="str">
        <f>IF(Datos!C11&lt;20,"Media","Alta")</f>
        <v>Media</v>
      </c>
      <c r="L11" s="19" t="str">
        <f>IF(Transacciones!$E11&lt;16,"Baja","Media")</f>
        <v>Baja</v>
      </c>
      <c r="M11" s="19" t="str" cm="1">
        <f t="array" ref="M11">_xlfn.IFS(Transacciones!$E11&lt;5,"Baja",Transacciones!$E11&gt;15,"Alta",AND(Transacciones!$E11&gt;4,Transacciones!$E11&lt;16),"Media")</f>
        <v>Baja</v>
      </c>
      <c r="N11" s="19" t="str">
        <f>IF(Transacciones!$E11&lt;5,"Media","Alta")</f>
        <v>Media</v>
      </c>
    </row>
    <row r="12" spans="1:14" x14ac:dyDescent="0.4">
      <c r="A12" s="19" t="str">
        <f>IF(Datos!C12&lt;51,"Baja","Media")</f>
        <v>Baja</v>
      </c>
      <c r="B12" s="19" t="str" cm="1">
        <f t="array" ref="B12">_xlfn.IFS(Datos!C12&lt;20,"Baja",Datos!C12&gt;50,"Alta",AND(Datos!C12&gt;19,Datos!C12&lt;51),"Media")</f>
        <v>Baja</v>
      </c>
      <c r="C12" s="19" t="str">
        <f>IF(Datos!C12&lt;20,"Media","Alta")</f>
        <v>Media</v>
      </c>
      <c r="L12" s="19" t="str">
        <f>IF(Transacciones!$E12&lt;16,"Baja","Media")</f>
        <v>Baja</v>
      </c>
      <c r="M12" s="19" t="str" cm="1">
        <f t="array" ref="M12">_xlfn.IFS(Transacciones!$E12&lt;5,"Baja",Transacciones!$E12&gt;15,"Alta",AND(Transacciones!$E12&gt;4,Transacciones!$E12&lt;16),"Media")</f>
        <v>Baja</v>
      </c>
      <c r="N12" s="19" t="str">
        <f>IF(Transacciones!$E12&lt;5,"Media","Alta")</f>
        <v>Media</v>
      </c>
    </row>
    <row r="13" spans="1:14" x14ac:dyDescent="0.4">
      <c r="L13" s="19" t="str">
        <f>IF(Transacciones!$E13&lt;16,"Baja","Media")</f>
        <v>Baja</v>
      </c>
      <c r="M13" s="19" t="str" cm="1">
        <f t="array" ref="M13">_xlfn.IFS(Transacciones!$E13&lt;5,"Baja",Transacciones!$E13&gt;15,"Alta",AND(Transacciones!$E13&gt;4,Transacciones!$E13&lt;16),"Media")</f>
        <v>Baja</v>
      </c>
      <c r="N13" s="19" t="str">
        <f>IF(Transacciones!$E13&lt;5,"Media","Alta")</f>
        <v>Media</v>
      </c>
    </row>
    <row r="14" spans="1:14" x14ac:dyDescent="0.4">
      <c r="L14" s="19" t="str">
        <f>IF(Transacciones!$E14&lt;16,"Baja","Media")</f>
        <v>Baja</v>
      </c>
      <c r="M14" s="19" t="str" cm="1">
        <f t="array" ref="M14">_xlfn.IFS(Transacciones!$E14&lt;5,"Baja",Transacciones!$E14&gt;15,"Alta",AND(Transacciones!$E14&gt;4,Transacciones!$E14&lt;16),"Media")</f>
        <v>Baja</v>
      </c>
      <c r="N14" s="19" t="str">
        <f>IF(Transacciones!$E14&lt;5,"Media","Alta")</f>
        <v>Media</v>
      </c>
    </row>
    <row r="15" spans="1:14" x14ac:dyDescent="0.4">
      <c r="L15" s="19" t="str">
        <f>IF(Transacciones!$E15&lt;16,"Baja","Media")</f>
        <v>Baja</v>
      </c>
      <c r="M15" s="19" t="str" cm="1">
        <f t="array" ref="M15">_xlfn.IFS(Transacciones!$E15&lt;5,"Baja",Transacciones!$E15&gt;15,"Alta",AND(Transacciones!$E15&gt;4,Transacciones!$E15&lt;16),"Media")</f>
        <v>Baja</v>
      </c>
      <c r="N15" s="19" t="str">
        <f>IF(Transacciones!$E15&lt;5,"Media","Alta")</f>
        <v>Media</v>
      </c>
    </row>
    <row r="16" spans="1:14" x14ac:dyDescent="0.4">
      <c r="L16" s="19" t="str">
        <f>IF(Transacciones!$E16&lt;16,"Baja","Media")</f>
        <v>Baja</v>
      </c>
      <c r="M16" s="19" t="str" cm="1">
        <f t="array" ref="M16">_xlfn.IFS(Transacciones!$E16&lt;5,"Baja",Transacciones!$E16&gt;15,"Alta",AND(Transacciones!$E16&gt;4,Transacciones!$E16&lt;16),"Media")</f>
        <v>Baja</v>
      </c>
      <c r="N16" s="19" t="str">
        <f>IF(Transacciones!$E16&lt;5,"Media","Alta")</f>
        <v>Media</v>
      </c>
    </row>
    <row r="17" spans="1:14" x14ac:dyDescent="0.4">
      <c r="A17" s="19" t="s">
        <v>26</v>
      </c>
      <c r="B17" s="19" t="s">
        <v>27</v>
      </c>
      <c r="C17" s="19" t="s">
        <v>28</v>
      </c>
      <c r="D17" s="30" t="s">
        <v>29</v>
      </c>
      <c r="E17" s="30" t="s">
        <v>30</v>
      </c>
      <c r="F17" s="30" t="s">
        <v>27</v>
      </c>
      <c r="G17" s="30" t="s">
        <v>28</v>
      </c>
      <c r="H17" s="30" t="s">
        <v>29</v>
      </c>
      <c r="L17" s="19" t="str">
        <f>IF(Transacciones!$E17&lt;16,"Baja","Media")</f>
        <v>Baja</v>
      </c>
      <c r="M17" s="19" t="str" cm="1">
        <f t="array" ref="M17">_xlfn.IFS(Transacciones!$E17&lt;5,"Baja",Transacciones!$E17&gt;15,"Alta",AND(Transacciones!$E17&gt;4,Transacciones!$E17&lt;16),"Media")</f>
        <v>Baja</v>
      </c>
      <c r="N17" s="19" t="str">
        <f>IF(Transacciones!$E17&lt;5,"Media","Alta")</f>
        <v>Media</v>
      </c>
    </row>
    <row r="18" spans="1:14" x14ac:dyDescent="0.4">
      <c r="A18" s="19" t="s">
        <v>31</v>
      </c>
      <c r="B18" s="19" t="s">
        <v>9</v>
      </c>
      <c r="C18" s="19" t="s">
        <v>9</v>
      </c>
      <c r="D18" s="30" t="s">
        <v>10</v>
      </c>
      <c r="E18" s="30" t="s">
        <v>31</v>
      </c>
      <c r="F18" s="30" t="s">
        <v>9</v>
      </c>
      <c r="G18" s="30" t="s">
        <v>9</v>
      </c>
      <c r="H18" s="30" t="s">
        <v>10</v>
      </c>
      <c r="L18" s="19" t="str">
        <f>IF(Transacciones!$E18&lt;16,"Baja","Media")</f>
        <v>Baja</v>
      </c>
      <c r="M18" s="19" t="str" cm="1">
        <f t="array" ref="M18">_xlfn.IFS(Transacciones!$E18&lt;5,"Baja",Transacciones!$E18&gt;15,"Alta",AND(Transacciones!$E18&gt;4,Transacciones!$E18&lt;16),"Media")</f>
        <v>Baja</v>
      </c>
      <c r="N18" s="19" t="str">
        <f>IF(Transacciones!$E18&lt;5,"Media","Alta")</f>
        <v>Media</v>
      </c>
    </row>
    <row r="19" spans="1:14" x14ac:dyDescent="0.4">
      <c r="A19" s="19" t="s">
        <v>32</v>
      </c>
      <c r="B19" s="19" t="s">
        <v>9</v>
      </c>
      <c r="C19" s="19" t="s">
        <v>10</v>
      </c>
      <c r="D19" s="30" t="s">
        <v>12</v>
      </c>
      <c r="E19" s="30" t="s">
        <v>33</v>
      </c>
      <c r="F19" s="30" t="s">
        <v>9</v>
      </c>
      <c r="G19" s="30" t="s">
        <v>10</v>
      </c>
      <c r="H19" s="30" t="s">
        <v>12</v>
      </c>
      <c r="L19" s="19" t="str">
        <f>IF(Transacciones!$E19&lt;16,"Baja","Media")</f>
        <v>Baja</v>
      </c>
      <c r="M19" s="19" t="str" cm="1">
        <f t="array" ref="M19">_xlfn.IFS(Transacciones!$E19&lt;5,"Baja",Transacciones!$E19&gt;15,"Alta",AND(Transacciones!$E19&gt;4,Transacciones!$E19&lt;16),"Media")</f>
        <v>Baja</v>
      </c>
      <c r="N19" s="19" t="str">
        <f>IF(Transacciones!$E19&lt;5,"Media","Alta")</f>
        <v>Media</v>
      </c>
    </row>
    <row r="20" spans="1:14" x14ac:dyDescent="0.4">
      <c r="A20" s="19" t="s">
        <v>34</v>
      </c>
      <c r="B20" s="19" t="s">
        <v>10</v>
      </c>
      <c r="C20" s="19" t="s">
        <v>12</v>
      </c>
      <c r="D20" s="30" t="s">
        <v>12</v>
      </c>
      <c r="E20" s="30" t="s">
        <v>35</v>
      </c>
      <c r="F20" s="30" t="s">
        <v>10</v>
      </c>
      <c r="G20" s="30" t="s">
        <v>12</v>
      </c>
      <c r="H20" s="30" t="s">
        <v>12</v>
      </c>
      <c r="L20" s="19" t="str">
        <f>IF(Transacciones!$E20&lt;16,"Baja","Media")</f>
        <v>Baja</v>
      </c>
      <c r="M20" s="19" t="str" cm="1">
        <f t="array" ref="M20">_xlfn.IFS(Transacciones!$E20&lt;5,"Baja",Transacciones!$E20&gt;15,"Alta",AND(Transacciones!$E20&gt;4,Transacciones!$E20&lt;16),"Media")</f>
        <v>Baja</v>
      </c>
      <c r="N20" s="19" t="str">
        <f>IF(Transacciones!$E20&lt;5,"Media","Alta")</f>
        <v>Media</v>
      </c>
    </row>
    <row r="21" spans="1:14" x14ac:dyDescent="0.4">
      <c r="L21" s="19" t="str">
        <f>IF(Transacciones!$E21&lt;16,"Baja","Media")</f>
        <v>Baja</v>
      </c>
      <c r="M21" s="19" t="str" cm="1">
        <f t="array" ref="M21">_xlfn.IFS(Transacciones!$E21&lt;5,"Baja",Transacciones!$E21&gt;15,"Alta",AND(Transacciones!$E21&gt;4,Transacciones!$E21&lt;16),"Media")</f>
        <v>Baja</v>
      </c>
      <c r="N21" s="19" t="str">
        <f>IF(Transacciones!$E21&lt;5,"Media","Alta")</f>
        <v>Media</v>
      </c>
    </row>
    <row r="22" spans="1:14" x14ac:dyDescent="0.4">
      <c r="L22" s="19" t="str">
        <f>IF(Transacciones!$E22&lt;16,"Baja","Media")</f>
        <v>Baja</v>
      </c>
      <c r="M22" s="19" t="str" cm="1">
        <f t="array" ref="M22">_xlfn.IFS(Transacciones!$E22&lt;5,"Baja",Transacciones!$E22&gt;15,"Alta",AND(Transacciones!$E22&gt;4,Transacciones!$E22&lt;16),"Media")</f>
        <v>Baja</v>
      </c>
      <c r="N22" s="19" t="str">
        <f>IF(Transacciones!$E22&lt;5,"Media","Alta")</f>
        <v>Media</v>
      </c>
    </row>
  </sheetData>
  <mergeCells count="2">
    <mergeCell ref="G8:H8"/>
    <mergeCell ref="F9:H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O29"/>
  <sheetViews>
    <sheetView zoomScale="60" zoomScaleNormal="60" workbookViewId="0">
      <selection activeCell="L27" sqref="L27"/>
    </sheetView>
  </sheetViews>
  <sheetFormatPr baseColWidth="10" defaultColWidth="11.4609375" defaultRowHeight="14.6" x14ac:dyDescent="0.4"/>
  <cols>
    <col min="1" max="1" width="13.84375" style="31" customWidth="1"/>
    <col min="2" max="2" width="16.4609375" style="31" customWidth="1"/>
    <col min="3" max="4" width="28.15234375" style="31" customWidth="1"/>
    <col min="5" max="5" width="18.4609375" style="31" customWidth="1"/>
    <col min="6" max="6" width="37" style="31" customWidth="1"/>
    <col min="7" max="7" width="9.84375" style="31" customWidth="1"/>
    <col min="8" max="8" width="27.61328125" style="31" bestFit="1" customWidth="1"/>
    <col min="9" max="9" width="13.15234375" style="31" customWidth="1"/>
    <col min="10" max="10" width="7.23046875" style="31" hidden="1" customWidth="1"/>
    <col min="11" max="11" width="6.23046875" style="31" hidden="1" customWidth="1"/>
    <col min="12" max="12" width="58.4609375" style="13" customWidth="1"/>
    <col min="13" max="16384" width="11.4609375" style="13"/>
  </cols>
  <sheetData>
    <row r="1" spans="1:15" ht="31.75" customHeight="1" x14ac:dyDescent="0.45">
      <c r="A1" s="32" t="s">
        <v>36</v>
      </c>
      <c r="B1" s="32" t="s">
        <v>37</v>
      </c>
      <c r="C1" s="33" t="s">
        <v>38</v>
      </c>
      <c r="D1" s="33" t="s">
        <v>3</v>
      </c>
      <c r="E1" s="33" t="s">
        <v>39</v>
      </c>
      <c r="F1" s="33" t="s">
        <v>40</v>
      </c>
      <c r="G1" s="33" t="s">
        <v>41</v>
      </c>
      <c r="H1" s="33" t="s">
        <v>42</v>
      </c>
      <c r="I1" s="33" t="s">
        <v>7</v>
      </c>
      <c r="J1" s="33" t="s">
        <v>43</v>
      </c>
      <c r="K1" s="33" t="s">
        <v>44</v>
      </c>
      <c r="L1" s="106"/>
      <c r="M1" s="34"/>
    </row>
    <row r="2" spans="1:15" x14ac:dyDescent="0.4">
      <c r="A2" s="37" t="s">
        <v>45</v>
      </c>
      <c r="B2" s="37" t="s">
        <v>19</v>
      </c>
      <c r="C2" s="38"/>
      <c r="D2" s="38"/>
      <c r="E2" s="38"/>
      <c r="F2" s="38"/>
      <c r="G2" s="38"/>
      <c r="H2" s="38"/>
      <c r="I2" s="41"/>
      <c r="J2" s="15" t="str">
        <f>IF(ISBLANK(B2),"",IF(B2=Referencia!E$6,IF(#REF!=Referencia!$E$4,"E","O"),"O"))</f>
        <v>O</v>
      </c>
      <c r="K2" s="9">
        <f t="shared" ref="K2:K20" si="0">IF(J2="","",IF(J2="E",IF(G2&lt;=1,1,(IF(G2&gt;2,3,2))),IF(G2&lt;=1,1,(IF(G2&gt;3,3,2)))))</f>
        <v>1</v>
      </c>
      <c r="L2" s="106"/>
      <c r="M2" s="34"/>
      <c r="N2" s="35" t="s">
        <v>19</v>
      </c>
      <c r="O2" s="35" t="s">
        <v>9</v>
      </c>
    </row>
    <row r="3" spans="1:15" x14ac:dyDescent="0.4">
      <c r="A3" s="37" t="s">
        <v>46</v>
      </c>
      <c r="B3" s="37" t="s">
        <v>19</v>
      </c>
      <c r="C3" s="38"/>
      <c r="D3" s="38"/>
      <c r="E3" s="38"/>
      <c r="F3" s="38"/>
      <c r="G3" s="38"/>
      <c r="H3" s="38"/>
      <c r="I3" s="41"/>
      <c r="J3" s="15" t="str">
        <f>IF(ISBLANK(B3),"",IF(B3=Referencia!E$6,IF(#REF!=Referencia!$E$4,"E","O"),"O"))</f>
        <v>O</v>
      </c>
      <c r="K3" s="9">
        <f t="shared" si="0"/>
        <v>1</v>
      </c>
      <c r="L3" s="106"/>
      <c r="M3" s="34"/>
      <c r="N3" s="35" t="s">
        <v>20</v>
      </c>
      <c r="O3" s="35" t="s">
        <v>10</v>
      </c>
    </row>
    <row r="4" spans="1:15" ht="21" customHeight="1" x14ac:dyDescent="0.4">
      <c r="A4" s="37" t="s">
        <v>45</v>
      </c>
      <c r="B4" s="37" t="s">
        <v>19</v>
      </c>
      <c r="C4" s="38"/>
      <c r="D4" s="38"/>
      <c r="E4" s="38"/>
      <c r="F4" s="38"/>
      <c r="G4" s="38"/>
      <c r="H4" s="38"/>
      <c r="I4" s="41"/>
      <c r="J4" s="15" t="str">
        <f>IF(ISBLANK(B4),"",IF(B4=Referencia!E$6,IF(#REF!=Referencia!$E$4,"E","O"),"O"))</f>
        <v>O</v>
      </c>
      <c r="K4" s="9">
        <f t="shared" si="0"/>
        <v>1</v>
      </c>
      <c r="L4" s="106"/>
      <c r="M4" s="34"/>
      <c r="N4" s="35" t="s">
        <v>21</v>
      </c>
      <c r="O4" s="35" t="s">
        <v>12</v>
      </c>
    </row>
    <row r="5" spans="1:15" x14ac:dyDescent="0.4">
      <c r="A5" s="37" t="s">
        <v>45</v>
      </c>
      <c r="B5" s="37" t="s">
        <v>19</v>
      </c>
      <c r="C5" s="38"/>
      <c r="D5" s="38"/>
      <c r="E5" s="38"/>
      <c r="F5" s="38"/>
      <c r="G5" s="38"/>
      <c r="H5" s="38"/>
      <c r="I5" s="41"/>
      <c r="J5" s="15" t="str">
        <f>IF(ISBLANK(B5),"",IF(B5=Referencia!E$6,IF(#REF!=Referencia!$E$4,"E","O"),"O"))</f>
        <v>O</v>
      </c>
      <c r="K5" s="9">
        <f t="shared" si="0"/>
        <v>1</v>
      </c>
      <c r="L5" s="106"/>
      <c r="M5" s="34"/>
    </row>
    <row r="6" spans="1:15" x14ac:dyDescent="0.4">
      <c r="A6" s="37" t="s">
        <v>45</v>
      </c>
      <c r="B6" s="37" t="s">
        <v>19</v>
      </c>
      <c r="C6" s="38"/>
      <c r="D6" s="38"/>
      <c r="E6" s="38"/>
      <c r="F6" s="38"/>
      <c r="G6" s="38"/>
      <c r="H6" s="38"/>
      <c r="I6" s="41"/>
      <c r="J6" s="15" t="str">
        <f>IF(ISBLANK(B6),"",IF(B6=Referencia!E$6,IF(#REF!=Referencia!$E$4,"E","O"),"O"))</f>
        <v>O</v>
      </c>
      <c r="K6" s="9">
        <f t="shared" si="0"/>
        <v>1</v>
      </c>
      <c r="L6" s="106"/>
      <c r="M6" s="34"/>
    </row>
    <row r="7" spans="1:15" x14ac:dyDescent="0.4">
      <c r="A7" s="37" t="s">
        <v>45</v>
      </c>
      <c r="B7" s="37" t="s">
        <v>19</v>
      </c>
      <c r="C7" s="38"/>
      <c r="D7" s="38"/>
      <c r="E7" s="38"/>
      <c r="F7" s="38"/>
      <c r="G7" s="38"/>
      <c r="H7" s="38"/>
      <c r="I7" s="41"/>
      <c r="J7" s="15" t="str">
        <f>IF(ISBLANK(B7),"",IF(B7=Referencia!E$6,IF(#REF!=Referencia!$E$4,"E","O"),"O"))</f>
        <v>O</v>
      </c>
      <c r="K7" s="9">
        <f t="shared" si="0"/>
        <v>1</v>
      </c>
      <c r="L7" s="106"/>
      <c r="M7" s="34"/>
    </row>
    <row r="8" spans="1:15" x14ac:dyDescent="0.4">
      <c r="A8" s="37" t="s">
        <v>45</v>
      </c>
      <c r="B8" s="37" t="s">
        <v>19</v>
      </c>
      <c r="C8" s="38"/>
      <c r="D8" s="38"/>
      <c r="E8" s="38"/>
      <c r="F8" s="38"/>
      <c r="G8" s="38"/>
      <c r="H8" s="38"/>
      <c r="I8" s="41"/>
      <c r="J8" s="15" t="str">
        <f>IF(ISBLANK(B8),"",IF(B8=Referencia!E$6,IF(#REF!=Referencia!$E$4,"E","O"),"O"))</f>
        <v>O</v>
      </c>
      <c r="K8" s="9">
        <f t="shared" si="0"/>
        <v>1</v>
      </c>
      <c r="L8" s="106"/>
      <c r="M8" s="34"/>
    </row>
    <row r="9" spans="1:15" x14ac:dyDescent="0.4">
      <c r="A9" s="37" t="s">
        <v>45</v>
      </c>
      <c r="B9" s="37" t="s">
        <v>19</v>
      </c>
      <c r="C9" s="38"/>
      <c r="D9" s="38"/>
      <c r="E9" s="38"/>
      <c r="F9" s="38"/>
      <c r="G9" s="38"/>
      <c r="H9" s="38"/>
      <c r="I9" s="41"/>
      <c r="J9" s="15" t="str">
        <f>IF(ISBLANK(B9),"",IF(B9=Referencia!E$6,IF(#REF!=Referencia!$E$4,"E","O"),"O"))</f>
        <v>O</v>
      </c>
      <c r="K9" s="9">
        <f t="shared" si="0"/>
        <v>1</v>
      </c>
      <c r="L9" s="106"/>
      <c r="M9" s="34"/>
    </row>
    <row r="10" spans="1:15" x14ac:dyDescent="0.4">
      <c r="A10" s="37" t="s">
        <v>45</v>
      </c>
      <c r="B10" s="37" t="s">
        <v>19</v>
      </c>
      <c r="C10" s="38"/>
      <c r="D10" s="38"/>
      <c r="E10" s="38"/>
      <c r="F10" s="38"/>
      <c r="G10" s="38"/>
      <c r="H10" s="38"/>
      <c r="I10" s="41"/>
      <c r="J10" s="15" t="str">
        <f>IF(ISBLANK(B10),"",IF(B10=Referencia!E$6,IF(#REF!=Referencia!$E$4,"E","O"),"O"))</f>
        <v>O</v>
      </c>
      <c r="K10" s="9">
        <f t="shared" si="0"/>
        <v>1</v>
      </c>
      <c r="L10" s="106"/>
      <c r="M10" s="34"/>
    </row>
    <row r="11" spans="1:15" s="34" customFormat="1" x14ac:dyDescent="0.4">
      <c r="A11" s="37" t="s">
        <v>47</v>
      </c>
      <c r="B11" s="37" t="s">
        <v>19</v>
      </c>
      <c r="C11" s="38"/>
      <c r="D11" s="38"/>
      <c r="E11" s="38"/>
      <c r="F11" s="38"/>
      <c r="G11" s="38"/>
      <c r="H11" s="38"/>
      <c r="I11" s="41"/>
      <c r="J11" s="15" t="str">
        <f>IF(ISBLANK(B11),"",IF(B11=Referencia!E$6,IF(#REF!=Referencia!$E$4,"E","O"),"O"))</f>
        <v>O</v>
      </c>
      <c r="K11" s="9">
        <f t="shared" si="0"/>
        <v>1</v>
      </c>
      <c r="L11" s="106"/>
    </row>
    <row r="12" spans="1:15" s="34" customFormat="1" x14ac:dyDescent="0.4">
      <c r="A12" s="37" t="s">
        <v>47</v>
      </c>
      <c r="B12" s="37" t="s">
        <v>19</v>
      </c>
      <c r="C12" s="38"/>
      <c r="D12" s="38"/>
      <c r="E12" s="38"/>
      <c r="F12" s="38"/>
      <c r="G12" s="38"/>
      <c r="H12" s="38"/>
      <c r="I12" s="41"/>
      <c r="J12" s="15" t="str">
        <f>IF(ISBLANK(B12),"",IF(B12=Referencia!E$6,IF(#REF!=Referencia!$E$4,"E","O"),"O"))</f>
        <v>O</v>
      </c>
      <c r="K12" s="9">
        <f t="shared" si="0"/>
        <v>1</v>
      </c>
      <c r="L12" s="106"/>
    </row>
    <row r="13" spans="1:15" s="34" customFormat="1" x14ac:dyDescent="0.4">
      <c r="A13" s="38" t="s">
        <v>46</v>
      </c>
      <c r="B13" s="38" t="s">
        <v>21</v>
      </c>
      <c r="C13" s="38"/>
      <c r="D13" s="38"/>
      <c r="E13" s="38"/>
      <c r="F13" s="38"/>
      <c r="G13" s="38"/>
      <c r="H13" s="38"/>
      <c r="I13" s="41"/>
      <c r="J13" s="15" t="e">
        <f>IF(ISBLANK(B13),"",IF(B13=Referencia!E$6,IF(#REF!=Referencia!$E$4,"E","O"),"O"))</f>
        <v>#REF!</v>
      </c>
      <c r="K13" s="9" t="e">
        <f t="shared" si="0"/>
        <v>#REF!</v>
      </c>
      <c r="L13" s="106"/>
    </row>
    <row r="14" spans="1:15" x14ac:dyDescent="0.4">
      <c r="A14" s="37" t="s">
        <v>46</v>
      </c>
      <c r="B14" s="38" t="s">
        <v>21</v>
      </c>
      <c r="C14" s="37"/>
      <c r="D14" s="37"/>
      <c r="E14" s="37"/>
      <c r="F14" s="42"/>
      <c r="G14" s="37"/>
      <c r="H14" s="37"/>
      <c r="I14" s="41"/>
      <c r="J14" s="15" t="e">
        <f>IF(ISBLANK(B14),"",IF(B14=Referencia!E$6,IF(#REF!=Referencia!$E$4,"E","O"),"O"))</f>
        <v>#REF!</v>
      </c>
      <c r="K14" s="9" t="e">
        <f t="shared" si="0"/>
        <v>#REF!</v>
      </c>
      <c r="L14" s="106"/>
    </row>
    <row r="15" spans="1:15" s="34" customFormat="1" x14ac:dyDescent="0.4">
      <c r="A15" s="38" t="s">
        <v>46</v>
      </c>
      <c r="B15" s="38" t="s">
        <v>21</v>
      </c>
      <c r="C15" s="38"/>
      <c r="D15" s="38"/>
      <c r="E15" s="38"/>
      <c r="F15" s="43"/>
      <c r="G15" s="38"/>
      <c r="H15" s="37"/>
      <c r="I15" s="41"/>
      <c r="J15" s="15" t="e">
        <f>IF(ISBLANK(B15),"",IF(B15=Referencia!E$6,IF(#REF!=Referencia!$E$4,"E","O"),"O"))</f>
        <v>#REF!</v>
      </c>
      <c r="K15" s="9" t="e">
        <f t="shared" si="0"/>
        <v>#REF!</v>
      </c>
      <c r="L15" s="106"/>
    </row>
    <row r="16" spans="1:15" s="34" customFormat="1" x14ac:dyDescent="0.4">
      <c r="A16" s="38" t="s">
        <v>46</v>
      </c>
      <c r="B16" s="38" t="s">
        <v>21</v>
      </c>
      <c r="C16" s="38"/>
      <c r="D16" s="38"/>
      <c r="E16" s="38"/>
      <c r="F16" s="38"/>
      <c r="G16" s="38"/>
      <c r="H16" s="38"/>
      <c r="I16" s="41"/>
      <c r="J16" s="15" t="e">
        <f>IF(ISBLANK(B16),"",IF(B16=Referencia!E$6,IF(#REF!=Referencia!$E$4,"E","O"),"O"))</f>
        <v>#REF!</v>
      </c>
      <c r="K16" s="9" t="e">
        <f t="shared" si="0"/>
        <v>#REF!</v>
      </c>
      <c r="L16" s="106"/>
    </row>
    <row r="17" spans="1:12" s="34" customFormat="1" x14ac:dyDescent="0.4">
      <c r="A17" s="38" t="s">
        <v>46</v>
      </c>
      <c r="B17" s="38" t="s">
        <v>21</v>
      </c>
      <c r="C17" s="38"/>
      <c r="D17" s="38"/>
      <c r="E17" s="38"/>
      <c r="F17" s="38"/>
      <c r="G17" s="38"/>
      <c r="H17" s="38"/>
      <c r="I17" s="41"/>
      <c r="J17" s="15" t="e">
        <f>IF(ISBLANK(B17),"",IF(B17=Referencia!E$6,IF(#REF!=Referencia!$E$4,"E","O"),"O"))</f>
        <v>#REF!</v>
      </c>
      <c r="K17" s="9" t="e">
        <f t="shared" si="0"/>
        <v>#REF!</v>
      </c>
      <c r="L17" s="106"/>
    </row>
    <row r="18" spans="1:12" s="34" customFormat="1" x14ac:dyDescent="0.4">
      <c r="A18" s="38" t="s">
        <v>46</v>
      </c>
      <c r="B18" s="38" t="s">
        <v>21</v>
      </c>
      <c r="C18" s="38"/>
      <c r="D18" s="38"/>
      <c r="E18" s="38"/>
      <c r="F18" s="38"/>
      <c r="G18" s="38"/>
      <c r="H18" s="38"/>
      <c r="I18" s="41"/>
      <c r="J18" s="15" t="e">
        <f>IF(ISBLANK(B18),"",IF(B18=Referencia!E$6,IF(#REF!=Referencia!$E$4,"E","O"),"O"))</f>
        <v>#REF!</v>
      </c>
      <c r="K18" s="9" t="e">
        <f t="shared" si="0"/>
        <v>#REF!</v>
      </c>
      <c r="L18" s="106"/>
    </row>
    <row r="19" spans="1:12" x14ac:dyDescent="0.4">
      <c r="A19" s="37" t="s">
        <v>46</v>
      </c>
      <c r="B19" s="37" t="s">
        <v>20</v>
      </c>
      <c r="C19" s="37"/>
      <c r="D19" s="37"/>
      <c r="E19" s="37"/>
      <c r="F19" s="37"/>
      <c r="G19" s="37"/>
      <c r="H19" s="37"/>
      <c r="I19" s="41"/>
      <c r="J19" s="15" t="str">
        <f>IF(ISBLANK(B19),"",IF(B19=Referencia!E$6,IF(#REF!=Referencia!$E$4,"E","O"),"O"))</f>
        <v>O</v>
      </c>
      <c r="K19" s="9">
        <f t="shared" si="0"/>
        <v>1</v>
      </c>
      <c r="L19" s="106"/>
    </row>
    <row r="20" spans="1:12" x14ac:dyDescent="0.4">
      <c r="A20" s="37" t="s">
        <v>46</v>
      </c>
      <c r="B20" s="37" t="s">
        <v>20</v>
      </c>
      <c r="C20" s="37"/>
      <c r="D20" s="37"/>
      <c r="E20" s="37"/>
      <c r="F20" s="37"/>
      <c r="G20" s="37"/>
      <c r="H20" s="37"/>
      <c r="I20" s="41"/>
      <c r="J20" s="15" t="str">
        <f>IF(ISBLANK(B20),"",IF(B20=Referencia!E$6,IF(#REF!=Referencia!$E$4,"E","O"),"O"))</f>
        <v>O</v>
      </c>
      <c r="K20" s="9">
        <f t="shared" si="0"/>
        <v>1</v>
      </c>
      <c r="L20" s="106"/>
    </row>
    <row r="21" spans="1:12" x14ac:dyDescent="0.4">
      <c r="A21" s="37" t="s">
        <v>45</v>
      </c>
      <c r="B21" s="37" t="s">
        <v>19</v>
      </c>
      <c r="C21" s="37"/>
      <c r="D21" s="37"/>
      <c r="E21" s="37"/>
      <c r="F21" s="37"/>
      <c r="G21" s="37"/>
      <c r="H21" s="37"/>
      <c r="I21" s="41"/>
      <c r="J21" s="15" t="str">
        <f>IF(ISBLANK(B21),"",IF(B21=Referencia!E$6,IF(#REF!=Referencia!$E$4,"E","O"),"O"))</f>
        <v>O</v>
      </c>
      <c r="K21" s="9">
        <f>IF(J21="","",IF(J21="E",IF(G21&lt;=1,1,(IF(G21&gt;2,3,2))),IF(G21&lt;=1,1,(IF(G21&gt;3,3,2)))))</f>
        <v>1</v>
      </c>
      <c r="L21" s="106"/>
    </row>
    <row r="22" spans="1:12" x14ac:dyDescent="0.4">
      <c r="A22" s="37"/>
      <c r="B22" s="37"/>
      <c r="C22" s="37"/>
      <c r="D22" s="37"/>
      <c r="E22" s="37"/>
      <c r="F22" s="37"/>
      <c r="G22" s="37"/>
      <c r="H22" s="37"/>
      <c r="I22" s="41" t="str">
        <f>IF(ISBLANK(C22),"",HLOOKUP(K22,Referencia!$L$1:$N$22,ROW(J22),FALSE))</f>
        <v/>
      </c>
      <c r="J22" s="15" t="str">
        <f>IF(ISBLANK(B22),"",IF(B22=Referencia!E$6,IF(#REF!=Referencia!$E$4,"E","O"),"O"))</f>
        <v/>
      </c>
      <c r="K22" s="9" t="str">
        <f>IF(J22="","",IF(J22="E",IF(G22&lt;=1,1,(IF(G22&gt;2,3,2))),IF(G22&lt;=1,1,(IF(G22&gt;3,3,2)))))</f>
        <v/>
      </c>
      <c r="L22" s="106"/>
    </row>
    <row r="23" spans="1:12" x14ac:dyDescent="0.4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12"/>
    </row>
    <row r="24" spans="1:12" ht="15" thickBot="1" x14ac:dyDescent="0.45">
      <c r="A24" s="36"/>
      <c r="B24" s="36"/>
      <c r="C24" s="91" t="s">
        <v>13</v>
      </c>
      <c r="D24" s="91"/>
      <c r="E24" s="91"/>
      <c r="F24" s="91"/>
      <c r="G24" s="91"/>
      <c r="H24" s="36"/>
      <c r="I24" s="36"/>
      <c r="J24" s="36"/>
      <c r="K24" s="36"/>
      <c r="L24" s="12"/>
    </row>
    <row r="25" spans="1:12" x14ac:dyDescent="0.4">
      <c r="A25" s="36"/>
      <c r="B25" s="82"/>
      <c r="C25" s="83"/>
      <c r="D25" s="83"/>
      <c r="E25" s="83"/>
      <c r="F25" s="83"/>
      <c r="G25" s="83"/>
      <c r="H25" s="83"/>
      <c r="I25" s="84"/>
      <c r="J25" s="36"/>
      <c r="K25" s="36"/>
      <c r="L25" s="12"/>
    </row>
    <row r="26" spans="1:12" x14ac:dyDescent="0.4">
      <c r="A26" s="36"/>
      <c r="B26" s="85"/>
      <c r="C26" s="86"/>
      <c r="D26" s="86"/>
      <c r="E26" s="86"/>
      <c r="F26" s="86"/>
      <c r="G26" s="86"/>
      <c r="H26" s="86"/>
      <c r="I26" s="87"/>
      <c r="J26" s="36"/>
      <c r="K26" s="36"/>
      <c r="L26" s="12"/>
    </row>
    <row r="27" spans="1:12" ht="15" thickBot="1" x14ac:dyDescent="0.45">
      <c r="A27" s="36"/>
      <c r="B27" s="88"/>
      <c r="C27" s="89"/>
      <c r="D27" s="89"/>
      <c r="E27" s="89"/>
      <c r="F27" s="89"/>
      <c r="G27" s="89"/>
      <c r="H27" s="89"/>
      <c r="I27" s="90"/>
      <c r="J27" s="36"/>
      <c r="K27" s="36"/>
      <c r="L27" s="12"/>
    </row>
    <row r="28" spans="1:12" x14ac:dyDescent="0.4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12"/>
    </row>
    <row r="29" spans="1:12" x14ac:dyDescent="0.4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12"/>
    </row>
  </sheetData>
  <mergeCells count="3">
    <mergeCell ref="B25:I27"/>
    <mergeCell ref="C24:G24"/>
    <mergeCell ref="L1:L22"/>
  </mergeCells>
  <dataValidations count="3">
    <dataValidation type="list" allowBlank="1" showInputMessage="1" showErrorMessage="1" sqref="B2:B22" xr:uid="{00000000-0002-0000-0300-000000000000}">
      <formula1>$N$2:$N$4</formula1>
    </dataValidation>
    <dataValidation type="whole" operator="greaterThanOrEqual" allowBlank="1" showInputMessage="1" showErrorMessage="1" sqref="E2:E22" xr:uid="{00000000-0002-0000-0300-000001000000}">
      <formula1>1</formula1>
    </dataValidation>
    <dataValidation type="whole" operator="greaterThanOrEqual" allowBlank="1" showInputMessage="1" showErrorMessage="1" sqref="G2:G22" xr:uid="{00000000-0002-0000-0300-000002000000}">
      <formula1>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N37"/>
  <sheetViews>
    <sheetView zoomScale="90" zoomScaleNormal="90" workbookViewId="0">
      <selection activeCell="B22" sqref="B22:D24"/>
    </sheetView>
  </sheetViews>
  <sheetFormatPr baseColWidth="10" defaultColWidth="11.4609375" defaultRowHeight="14.6" x14ac:dyDescent="0.4"/>
  <cols>
    <col min="1" max="1" width="8.15234375" customWidth="1"/>
    <col min="2" max="2" width="32.84375" customWidth="1"/>
    <col min="4" max="4" width="68.15234375" customWidth="1"/>
  </cols>
  <sheetData>
    <row r="1" spans="1:14" ht="15.9" x14ac:dyDescent="0.45">
      <c r="A1" s="3" t="s">
        <v>48</v>
      </c>
      <c r="B1" s="3" t="s">
        <v>49</v>
      </c>
      <c r="C1" s="4" t="s">
        <v>50</v>
      </c>
      <c r="D1" s="4" t="s">
        <v>51</v>
      </c>
      <c r="E1" s="1"/>
      <c r="F1" s="1"/>
      <c r="G1" s="1"/>
      <c r="H1" s="1"/>
      <c r="I1" s="1"/>
      <c r="J1" s="1"/>
      <c r="K1" s="1"/>
      <c r="N1" s="5">
        <v>0</v>
      </c>
    </row>
    <row r="2" spans="1:14" x14ac:dyDescent="0.4">
      <c r="A2" s="4">
        <v>1</v>
      </c>
      <c r="B2" s="8" t="s">
        <v>52</v>
      </c>
      <c r="C2" s="44"/>
      <c r="D2" s="44"/>
      <c r="E2" s="1"/>
      <c r="F2" s="1"/>
      <c r="G2" s="1"/>
      <c r="H2" s="1"/>
      <c r="I2" s="1"/>
      <c r="J2" s="1"/>
      <c r="K2" s="1"/>
      <c r="M2" s="10"/>
      <c r="N2" s="5">
        <v>1</v>
      </c>
    </row>
    <row r="3" spans="1:14" x14ac:dyDescent="0.4">
      <c r="A3" s="4">
        <v>2</v>
      </c>
      <c r="B3" s="8" t="s">
        <v>53</v>
      </c>
      <c r="C3" s="44"/>
      <c r="D3" s="44"/>
      <c r="E3" s="1"/>
      <c r="F3" s="1"/>
      <c r="G3" s="1"/>
      <c r="H3" s="1"/>
      <c r="I3" s="1"/>
      <c r="J3" s="1"/>
      <c r="K3" s="1"/>
      <c r="M3" s="10"/>
      <c r="N3" s="5">
        <v>2</v>
      </c>
    </row>
    <row r="4" spans="1:14" x14ac:dyDescent="0.4">
      <c r="A4" s="4">
        <v>3</v>
      </c>
      <c r="B4" s="8" t="s">
        <v>54</v>
      </c>
      <c r="C4" s="44"/>
      <c r="D4" s="44"/>
      <c r="E4" s="1"/>
      <c r="F4" s="1"/>
      <c r="G4" s="1"/>
      <c r="H4" s="1"/>
      <c r="I4" s="1"/>
      <c r="J4" s="1"/>
      <c r="K4" s="1"/>
      <c r="M4" s="10"/>
      <c r="N4" s="5">
        <v>3</v>
      </c>
    </row>
    <row r="5" spans="1:14" x14ac:dyDescent="0.4">
      <c r="A5" s="4">
        <v>4</v>
      </c>
      <c r="B5" s="8" t="s">
        <v>55</v>
      </c>
      <c r="C5" s="44"/>
      <c r="D5" s="44"/>
      <c r="E5" s="1"/>
      <c r="F5" s="1"/>
      <c r="G5" s="1"/>
      <c r="H5" s="1"/>
      <c r="I5" s="1"/>
      <c r="J5" s="1"/>
      <c r="K5" s="1"/>
      <c r="M5" s="10"/>
      <c r="N5" s="5">
        <v>4</v>
      </c>
    </row>
    <row r="6" spans="1:14" x14ac:dyDescent="0.4">
      <c r="A6" s="4">
        <v>5</v>
      </c>
      <c r="B6" s="8" t="s">
        <v>56</v>
      </c>
      <c r="C6" s="44"/>
      <c r="D6" s="44"/>
      <c r="E6" s="1"/>
      <c r="F6" s="1"/>
      <c r="G6" s="1"/>
      <c r="H6" s="1"/>
      <c r="I6" s="1"/>
      <c r="J6" s="1"/>
      <c r="K6" s="1"/>
      <c r="M6" s="10"/>
      <c r="N6" s="5">
        <v>5</v>
      </c>
    </row>
    <row r="7" spans="1:14" x14ac:dyDescent="0.4">
      <c r="A7" s="4">
        <v>6</v>
      </c>
      <c r="B7" s="8" t="s">
        <v>57</v>
      </c>
      <c r="C7" s="44"/>
      <c r="D7" s="44"/>
      <c r="E7" s="1"/>
      <c r="F7" s="1"/>
      <c r="G7" s="1"/>
      <c r="H7" s="1"/>
      <c r="I7" s="1"/>
      <c r="J7" s="1"/>
      <c r="K7" s="1"/>
      <c r="M7" s="11"/>
    </row>
    <row r="8" spans="1:14" x14ac:dyDescent="0.4">
      <c r="A8" s="4">
        <v>7</v>
      </c>
      <c r="B8" s="8" t="s">
        <v>58</v>
      </c>
      <c r="C8" s="44"/>
      <c r="D8" s="44"/>
      <c r="E8" s="1"/>
      <c r="F8" s="1"/>
      <c r="G8" s="1"/>
      <c r="H8" s="1"/>
      <c r="I8" s="1"/>
      <c r="J8" s="1"/>
      <c r="K8" s="1"/>
      <c r="M8" s="11"/>
    </row>
    <row r="9" spans="1:14" x14ac:dyDescent="0.4">
      <c r="A9" s="4">
        <v>8</v>
      </c>
      <c r="B9" s="8" t="s">
        <v>59</v>
      </c>
      <c r="C9" s="44"/>
      <c r="D9" s="44"/>
      <c r="E9" s="1"/>
      <c r="F9" s="1"/>
      <c r="G9" s="1"/>
      <c r="H9" s="1"/>
      <c r="I9" s="1"/>
      <c r="J9" s="1"/>
      <c r="K9" s="1"/>
      <c r="M9" s="11"/>
    </row>
    <row r="10" spans="1:14" x14ac:dyDescent="0.4">
      <c r="A10" s="4">
        <v>9</v>
      </c>
      <c r="B10" s="8" t="s">
        <v>60</v>
      </c>
      <c r="C10" s="44"/>
      <c r="D10" s="44"/>
      <c r="E10" s="1"/>
      <c r="F10" s="1"/>
      <c r="G10" s="1"/>
      <c r="H10" s="1"/>
      <c r="I10" s="1"/>
      <c r="J10" s="1"/>
      <c r="K10" s="1"/>
      <c r="M10" s="7"/>
    </row>
    <row r="11" spans="1:14" x14ac:dyDescent="0.4">
      <c r="A11" s="4">
        <v>10</v>
      </c>
      <c r="B11" s="8" t="s">
        <v>61</v>
      </c>
      <c r="C11" s="44"/>
      <c r="D11" s="44"/>
      <c r="E11" s="1"/>
      <c r="F11" s="1"/>
      <c r="G11" s="1"/>
      <c r="H11" s="1"/>
      <c r="I11" s="1"/>
      <c r="J11" s="1"/>
      <c r="K11" s="1"/>
    </row>
    <row r="12" spans="1:14" x14ac:dyDescent="0.4">
      <c r="A12" s="4">
        <v>11</v>
      </c>
      <c r="B12" s="8" t="s">
        <v>62</v>
      </c>
      <c r="C12" s="44"/>
      <c r="D12" s="45"/>
      <c r="E12" s="1"/>
      <c r="F12" s="1"/>
      <c r="G12" s="1"/>
      <c r="H12" s="1"/>
      <c r="I12" s="1"/>
      <c r="J12" s="1"/>
      <c r="K12" s="1"/>
    </row>
    <row r="13" spans="1:14" x14ac:dyDescent="0.4">
      <c r="A13" s="4">
        <v>12</v>
      </c>
      <c r="B13" s="8" t="s">
        <v>63</v>
      </c>
      <c r="C13" s="44"/>
      <c r="D13" s="44"/>
      <c r="E13" s="1"/>
      <c r="F13" s="1"/>
      <c r="G13" s="1"/>
      <c r="H13" s="1"/>
      <c r="I13" s="1"/>
      <c r="J13" s="1"/>
      <c r="K13" s="1"/>
    </row>
    <row r="14" spans="1:14" x14ac:dyDescent="0.4">
      <c r="A14" s="4">
        <v>13</v>
      </c>
      <c r="B14" s="8" t="s">
        <v>64</v>
      </c>
      <c r="C14" s="44"/>
      <c r="D14" s="44"/>
      <c r="E14" s="1"/>
      <c r="F14" s="1"/>
      <c r="G14" s="1"/>
      <c r="H14" s="1"/>
      <c r="I14" s="1"/>
      <c r="J14" s="1"/>
      <c r="K14" s="1"/>
    </row>
    <row r="15" spans="1:14" x14ac:dyDescent="0.4">
      <c r="A15" s="4">
        <v>14</v>
      </c>
      <c r="B15" s="8" t="s">
        <v>65</v>
      </c>
      <c r="C15" s="44"/>
      <c r="D15" s="44"/>
      <c r="E15" s="1"/>
      <c r="F15" s="1"/>
      <c r="G15" s="1"/>
      <c r="H15" s="1"/>
      <c r="I15" s="1"/>
      <c r="J15" s="1"/>
      <c r="K15" s="1"/>
    </row>
    <row r="16" spans="1:14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ht="15.9" x14ac:dyDescent="0.45">
      <c r="A17" s="1"/>
      <c r="B17" s="3" t="s">
        <v>66</v>
      </c>
      <c r="C17" s="6">
        <f>SUM(C2:C15)</f>
        <v>0</v>
      </c>
      <c r="D17" s="1"/>
      <c r="E17" s="1"/>
      <c r="F17" s="1"/>
      <c r="G17" s="1"/>
      <c r="H17" s="1"/>
      <c r="I17" s="1"/>
      <c r="J17" s="1"/>
      <c r="K17" s="1"/>
    </row>
    <row r="18" spans="1:11" ht="15.9" x14ac:dyDescent="0.45">
      <c r="A18" s="1"/>
      <c r="B18" s="3" t="s">
        <v>49</v>
      </c>
      <c r="C18" s="6">
        <f>0.65+(0.01*C17)</f>
        <v>0.65</v>
      </c>
      <c r="D18" s="1"/>
      <c r="E18" s="1"/>
      <c r="F18" s="1"/>
      <c r="G18" s="1"/>
      <c r="H18" s="1"/>
      <c r="I18" s="1"/>
      <c r="J18" s="1"/>
      <c r="K18" s="1"/>
    </row>
    <row r="19" spans="1:1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ht="15" thickBot="1" x14ac:dyDescent="0.45">
      <c r="A21" s="1"/>
      <c r="B21" s="58" t="s">
        <v>13</v>
      </c>
      <c r="C21" s="58"/>
      <c r="D21" s="58"/>
      <c r="E21" s="1"/>
      <c r="F21" s="1"/>
      <c r="G21" s="1"/>
      <c r="H21" s="1"/>
      <c r="I21" s="1"/>
      <c r="J21" s="1"/>
      <c r="K21" s="1"/>
    </row>
    <row r="22" spans="1:11" x14ac:dyDescent="0.4">
      <c r="A22" s="1"/>
      <c r="B22" s="92"/>
      <c r="C22" s="93"/>
      <c r="D22" s="94"/>
      <c r="E22" s="1"/>
      <c r="F22" s="1"/>
      <c r="G22" s="1"/>
      <c r="H22" s="1"/>
      <c r="I22" s="1"/>
      <c r="J22" s="1"/>
      <c r="K22" s="1"/>
    </row>
    <row r="23" spans="1:11" x14ac:dyDescent="0.4">
      <c r="A23" s="1"/>
      <c r="B23" s="95"/>
      <c r="C23" s="96"/>
      <c r="D23" s="97"/>
      <c r="E23" s="1"/>
      <c r="F23" s="1"/>
      <c r="G23" s="1"/>
      <c r="H23" s="1"/>
      <c r="I23" s="1"/>
      <c r="J23" s="1"/>
      <c r="K23" s="1"/>
    </row>
    <row r="24" spans="1:11" ht="15" thickBot="1" x14ac:dyDescent="0.45">
      <c r="A24" s="1"/>
      <c r="B24" s="98"/>
      <c r="C24" s="99"/>
      <c r="D24" s="100"/>
      <c r="E24" s="1"/>
      <c r="F24" s="1"/>
      <c r="G24" s="1"/>
      <c r="H24" s="1"/>
      <c r="I24" s="1"/>
      <c r="J24" s="1"/>
      <c r="K24" s="1"/>
    </row>
    <row r="25" spans="1:11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</sheetData>
  <sheetProtection password="ED3D" sheet="1" objects="1" scenarios="1"/>
  <mergeCells count="2">
    <mergeCell ref="B21:D21"/>
    <mergeCell ref="B22:D24"/>
  </mergeCells>
  <dataValidations count="1">
    <dataValidation type="list" allowBlank="1" showInputMessage="1" showErrorMessage="1" sqref="C2:C15" xr:uid="{00000000-0002-0000-0400-000000000000}">
      <formula1>$N$1:$N$6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E9"/>
  <sheetViews>
    <sheetView zoomScale="110" zoomScaleNormal="110" workbookViewId="0">
      <selection activeCell="E8" sqref="E8"/>
    </sheetView>
  </sheetViews>
  <sheetFormatPr baseColWidth="10" defaultColWidth="11.53515625" defaultRowHeight="14.6" x14ac:dyDescent="0.4"/>
  <cols>
    <col min="1" max="1" width="26.69140625" style="13" bestFit="1" customWidth="1"/>
    <col min="2" max="2" width="15" style="13" bestFit="1" customWidth="1"/>
    <col min="3" max="3" width="16.69140625" style="13" bestFit="1" customWidth="1"/>
    <col min="4" max="4" width="14.69140625" style="13" bestFit="1" customWidth="1"/>
    <col min="5" max="5" width="14.23046875" style="13" bestFit="1" customWidth="1"/>
    <col min="6" max="16384" width="11.53515625" style="13"/>
  </cols>
  <sheetData>
    <row r="1" spans="1:5" ht="29.6" thickBot="1" x14ac:dyDescent="0.45">
      <c r="A1" s="20"/>
      <c r="B1" s="21" t="s">
        <v>15</v>
      </c>
      <c r="C1" s="21" t="s">
        <v>16</v>
      </c>
      <c r="D1" s="21" t="s">
        <v>17</v>
      </c>
      <c r="E1" s="21" t="s">
        <v>18</v>
      </c>
    </row>
    <row r="2" spans="1:5" ht="15" thickBot="1" x14ac:dyDescent="0.45">
      <c r="A2" s="22" t="s">
        <v>8</v>
      </c>
      <c r="B2" s="46">
        <f>COUNTIFS(Datos!$B$2:$B$12,$A2,Datos!$G$2:$G$12,"Baja")</f>
        <v>0</v>
      </c>
      <c r="C2" s="46">
        <f>COUNTIFS(Datos!$B$2:$B$12,$A2,Datos!$G$2:$G$12,"Media")</f>
        <v>0</v>
      </c>
      <c r="D2" s="46">
        <f>COUNTIFS(Datos!$B$2:$B$12,$A2,Datos!$G$2:$G$12,"Alta")</f>
        <v>0</v>
      </c>
      <c r="E2" s="46">
        <f>SUMPRODUCT(B2:D2,Referencia!F2:H2)</f>
        <v>0</v>
      </c>
    </row>
    <row r="3" spans="1:5" ht="15" thickBot="1" x14ac:dyDescent="0.45">
      <c r="A3" s="22" t="s">
        <v>11</v>
      </c>
      <c r="B3" s="46">
        <f>COUNTIFS(Datos!$B$2:$B$12,$A3,Datos!$G$2:$G$12,"Baja")</f>
        <v>0</v>
      </c>
      <c r="C3" s="46">
        <f>COUNTIFS(Datos!$B$2:$B$12,$A3,Datos!$G$2:$G$12,"Media")</f>
        <v>0</v>
      </c>
      <c r="D3" s="46">
        <f>COUNTIFS(Datos!$B$2:$B$12,$A3,Datos!$G$2:$G$12,"Alta")</f>
        <v>0</v>
      </c>
      <c r="E3" s="46">
        <f>SUMPRODUCT(B3:D3,Referencia!F3:H3)</f>
        <v>0</v>
      </c>
    </row>
    <row r="4" spans="1:5" ht="15" thickBot="1" x14ac:dyDescent="0.45">
      <c r="A4" s="22" t="s">
        <v>19</v>
      </c>
      <c r="B4" s="46">
        <f>COUNTIFS(Transacciones!$B$2:$B$22,$A4,Transacciones!$I$2:$I$22,"Baja")</f>
        <v>0</v>
      </c>
      <c r="C4" s="46">
        <f>COUNTIFS(Transacciones!$B$2:$B$22,$A4,Transacciones!$I$2:$I$22,"Media")</f>
        <v>0</v>
      </c>
      <c r="D4" s="46">
        <f>COUNTIFS(Transacciones!$B$2:$B$22,$A4,Transacciones!$I$2:$I$22,"Alta")</f>
        <v>0</v>
      </c>
      <c r="E4" s="46">
        <f>SUMPRODUCT(B4:D4,Referencia!F4:H4)</f>
        <v>0</v>
      </c>
    </row>
    <row r="5" spans="1:5" ht="15" thickBot="1" x14ac:dyDescent="0.45">
      <c r="A5" s="22" t="s">
        <v>20</v>
      </c>
      <c r="B5" s="46">
        <f>COUNTIFS(Transacciones!$B$2:$B$22,$A5,Transacciones!$I$2:$I$22,"Baja")</f>
        <v>0</v>
      </c>
      <c r="C5" s="46">
        <f>COUNTIFS(Transacciones!$B$2:$B$22,$A5,Transacciones!$I$2:$I$22,"Media")</f>
        <v>0</v>
      </c>
      <c r="D5" s="46">
        <f>COUNTIFS(Transacciones!$B$2:$B$22,$A5,Transacciones!$I$2:$I$22,"Alta")</f>
        <v>0</v>
      </c>
      <c r="E5" s="46">
        <f>SUMPRODUCT(B5:D5,Referencia!F5:H5)</f>
        <v>0</v>
      </c>
    </row>
    <row r="6" spans="1:5" ht="15" thickBot="1" x14ac:dyDescent="0.45">
      <c r="A6" s="22" t="s">
        <v>21</v>
      </c>
      <c r="B6" s="46">
        <f>COUNTIFS(Transacciones!$B$2:$B$22,$A6,Transacciones!$I$2:$I$22,"Baja")</f>
        <v>0</v>
      </c>
      <c r="C6" s="46">
        <f>COUNTIFS(Transacciones!$B$2:$B$22,$A6,Transacciones!$I$2:$I$22,"Media")</f>
        <v>0</v>
      </c>
      <c r="D6" s="46">
        <f>COUNTIFS(Transacciones!$B$2:$B$22,$A6,Transacciones!$I$2:$I$22,"Alta")</f>
        <v>0</v>
      </c>
      <c r="E6" s="46">
        <f>SUMPRODUCT(B6:D6,Referencia!F6:H6)</f>
        <v>0</v>
      </c>
    </row>
    <row r="7" spans="1:5" ht="29.6" thickBot="1" x14ac:dyDescent="0.45">
      <c r="A7" s="24" t="s">
        <v>22</v>
      </c>
      <c r="B7" s="47"/>
      <c r="C7" s="47"/>
      <c r="D7" s="47"/>
      <c r="E7" s="48">
        <f>SUM(E2:E6)</f>
        <v>0</v>
      </c>
    </row>
    <row r="8" spans="1:5" ht="15" thickBot="1" x14ac:dyDescent="0.45">
      <c r="A8" s="24" t="s">
        <v>23</v>
      </c>
      <c r="B8" s="49">
        <f>Ajuste!C17</f>
        <v>0</v>
      </c>
      <c r="C8" s="101" t="s">
        <v>24</v>
      </c>
      <c r="D8" s="102"/>
      <c r="E8" s="48">
        <f>Ajuste!C18</f>
        <v>0.65</v>
      </c>
    </row>
    <row r="9" spans="1:5" ht="15" thickBot="1" x14ac:dyDescent="0.45">
      <c r="A9" s="27"/>
      <c r="B9" s="103" t="s">
        <v>25</v>
      </c>
      <c r="C9" s="104"/>
      <c r="D9" s="105"/>
      <c r="E9" s="48">
        <f>E7*E8</f>
        <v>0</v>
      </c>
    </row>
  </sheetData>
  <mergeCells count="2">
    <mergeCell ref="C8:D8"/>
    <mergeCell ref="B9:D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mplates xmlns="fa36abe8-40d8-46e2-846e-75b5e18b03bd" xsi:nil="true"/>
    <Member_Groups xmlns="fa36abe8-40d8-46e2-846e-75b5e18b03bd">
      <UserInfo>
        <DisplayName/>
        <AccountId xsi:nil="true"/>
        <AccountType/>
      </UserInfo>
    </Member_Groups>
    <Self_Registration_Enabled xmlns="fa36abe8-40d8-46e2-846e-75b5e18b03bd" xsi:nil="true"/>
    <Has_Leaders_Only_SectionGroup xmlns="fa36abe8-40d8-46e2-846e-75b5e18b03bd" xsi:nil="true"/>
    <DefaultSectionNames xmlns="fa36abe8-40d8-46e2-846e-75b5e18b03bd" xsi:nil="true"/>
    <Invited_Members xmlns="fa36abe8-40d8-46e2-846e-75b5e18b03bd" xsi:nil="true"/>
    <AppVersion xmlns="fa36abe8-40d8-46e2-846e-75b5e18b03bd" xsi:nil="true"/>
    <CultureName xmlns="fa36abe8-40d8-46e2-846e-75b5e18b03bd" xsi:nil="true"/>
    <FolderType xmlns="fa36abe8-40d8-46e2-846e-75b5e18b03bd" xsi:nil="true"/>
    <Owner xmlns="fa36abe8-40d8-46e2-846e-75b5e18b03bd">
      <UserInfo>
        <DisplayName/>
        <AccountId xsi:nil="true"/>
        <AccountType/>
      </UserInfo>
    </Owner>
    <Leaders xmlns="fa36abe8-40d8-46e2-846e-75b5e18b03bd">
      <UserInfo>
        <DisplayName/>
        <AccountId xsi:nil="true"/>
        <AccountType/>
      </UserInfo>
    </Leaders>
    <NotebookType xmlns="fa36abe8-40d8-46e2-846e-75b5e18b03bd" xsi:nil="true"/>
    <TeamsChannelId xmlns="fa36abe8-40d8-46e2-846e-75b5e18b03bd" xsi:nil="true"/>
    <Invited_Leaders xmlns="fa36abe8-40d8-46e2-846e-75b5e18b03bd" xsi:nil="true"/>
    <Members xmlns="fa36abe8-40d8-46e2-846e-75b5e18b03bd">
      <UserInfo>
        <DisplayName/>
        <AccountId xsi:nil="true"/>
        <AccountType/>
      </UserInfo>
    </Members>
    <Is_Collaboration_Space_Locked xmlns="fa36abe8-40d8-46e2-846e-75b5e18b03bd" xsi:nil="true"/>
    <IsNotebookLocked xmlns="fa36abe8-40d8-46e2-846e-75b5e18b03b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5F8293EE4B27A44A410ED21DCAD44B4" ma:contentTypeVersion="33" ma:contentTypeDescription="Crear nuevo documento." ma:contentTypeScope="" ma:versionID="a00faaa1eae0cb4de4b6072065595358">
  <xsd:schema xmlns:xsd="http://www.w3.org/2001/XMLSchema" xmlns:xs="http://www.w3.org/2001/XMLSchema" xmlns:p="http://schemas.microsoft.com/office/2006/metadata/properties" xmlns:ns3="2520f25b-0ef3-4127-95bd-82e745a0ba18" xmlns:ns4="fa36abe8-40d8-46e2-846e-75b5e18b03bd" targetNamespace="http://schemas.microsoft.com/office/2006/metadata/properties" ma:root="true" ma:fieldsID="3574a1f06237faf282558187ce201226" ns3:_="" ns4:_="">
    <xsd:import namespace="2520f25b-0ef3-4127-95bd-82e745a0ba18"/>
    <xsd:import namespace="fa36abe8-40d8-46e2-846e-75b5e18b03b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NotebookType" minOccurs="0"/>
                <xsd:element ref="ns4:FolderType" minOccurs="0"/>
                <xsd:element ref="ns4:CultureName" minOccurs="0"/>
                <xsd:element ref="ns4:AppVersion" minOccurs="0"/>
                <xsd:element ref="ns4:TeamsChannelId" minOccurs="0"/>
                <xsd:element ref="ns4:Owner" minOccurs="0"/>
                <xsd:element ref="ns4:DefaultSectionNames" minOccurs="0"/>
                <xsd:element ref="ns4:Templates" minOccurs="0"/>
                <xsd:element ref="ns4:Leaders" minOccurs="0"/>
                <xsd:element ref="ns4:Members" minOccurs="0"/>
                <xsd:element ref="ns4:Member_Groups" minOccurs="0"/>
                <xsd:element ref="ns4:Invited_Leaders" minOccurs="0"/>
                <xsd:element ref="ns4:Invited_Members" minOccurs="0"/>
                <xsd:element ref="ns4:Self_Registration_Enabled" minOccurs="0"/>
                <xsd:element ref="ns4:Has_Leaders_Only_SectionGroup" minOccurs="0"/>
                <xsd:element ref="ns4:Is_Collaboration_Space_Locked" minOccurs="0"/>
                <xsd:element ref="ns4:IsNotebookLocked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20f25b-0ef3-4127-95bd-82e745a0ba1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internalName="SharingHintHash" ma:readOnly="true">
      <xsd:simpleType>
        <xsd:restriction base="dms:Text"/>
      </xsd:simpleType>
    </xsd:element>
    <xsd:element name="LastSharedByUser" ma:index="11" nillable="true" ma:displayName="Última vez que se compartió por usuario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Última vez que se compartió por hora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36abe8-40d8-46e2-846e-75b5e18b03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efaultSectionNames" ma:index="2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6" nillable="true" ma:displayName="Templates" ma:internalName="Templates">
      <xsd:simpleType>
        <xsd:restriction base="dms:Note">
          <xsd:maxLength value="255"/>
        </xsd:restriction>
      </xsd:simpleType>
    </xsd:element>
    <xsd:element name="Leaders" ma:index="27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28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29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30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31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Self_Registration_Enabled" ma:index="32" nillable="true" ma:displayName="Self Registration Enabled" ma:internalName="Self_Registration_Enabled">
      <xsd:simpleType>
        <xsd:restriction base="dms:Boolean"/>
      </xsd:simpleType>
    </xsd:element>
    <xsd:element name="Has_Leaders_Only_SectionGroup" ma:index="33" nillable="true" ma:displayName="Has Leaders Only SectionGroup" ma:internalName="Has_Leaders_Only_SectionGroup">
      <xsd:simpleType>
        <xsd:restriction base="dms:Boolean"/>
      </xsd:simpleType>
    </xsd:element>
    <xsd:element name="Is_Collaboration_Space_Locked" ma:index="34" nillable="true" ma:displayName="Is Collaboration Space Locked" ma:internalName="Is_Collaboration_Space_Locked">
      <xsd:simpleType>
        <xsd:restriction base="dms:Boolean"/>
      </xsd:simpleType>
    </xsd:element>
    <xsd:element name="IsNotebookLocked" ma:index="35" nillable="true" ma:displayName="Is Notebook Locked" ma:internalName="IsNotebookLocked">
      <xsd:simpleType>
        <xsd:restriction base="dms:Boolean"/>
      </xsd:simpleType>
    </xsd:element>
    <xsd:element name="MediaServiceGenerationTime" ma:index="3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3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4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FC0CC7-E4E7-4A41-9089-368479A753BF}">
  <ds:schemaRefs>
    <ds:schemaRef ds:uri="http://schemas.microsoft.com/office/2006/metadata/properties"/>
    <ds:schemaRef ds:uri="http://schemas.microsoft.com/office/infopath/2007/PartnerControls"/>
    <ds:schemaRef ds:uri="fa36abe8-40d8-46e2-846e-75b5e18b03bd"/>
  </ds:schemaRefs>
</ds:datastoreItem>
</file>

<file path=customXml/itemProps2.xml><?xml version="1.0" encoding="utf-8"?>
<ds:datastoreItem xmlns:ds="http://schemas.openxmlformats.org/officeDocument/2006/customXml" ds:itemID="{C6316AEC-DD5B-4B23-A6A6-E6AEDF545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20f25b-0ef3-4127-95bd-82e745a0ba18"/>
    <ds:schemaRef ds:uri="fa36abe8-40d8-46e2-846e-75b5e18b03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ED3DDF-E467-4B20-9E06-BDD99BF5E8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Nombres</vt:lpstr>
      <vt:lpstr>Datos</vt:lpstr>
      <vt:lpstr>Referencia</vt:lpstr>
      <vt:lpstr>Transacciones</vt:lpstr>
      <vt:lpstr>Ajuste</vt:lpstr>
      <vt:lpstr>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carmina</dc:creator>
  <cp:keywords/>
  <dc:description/>
  <cp:lastModifiedBy>Villalba de Benito María Teresa</cp:lastModifiedBy>
  <cp:revision/>
  <dcterms:created xsi:type="dcterms:W3CDTF">2021-03-16T10:04:05Z</dcterms:created>
  <dcterms:modified xsi:type="dcterms:W3CDTF">2023-03-21T07:40:29Z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0x01010065F8293EE4B27A44A410ED21DCAD44B4</vt:lpwstr>
  </property>
</Properties>
</file>